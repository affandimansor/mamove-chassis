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filterPrivacy="1" codeName="DieseArbeitsmappe"/>
  <xr:revisionPtr revIDLastSave="0" documentId="13_ncr:1_{D66D1AC4-267B-409C-A857-83D9C5261EED}" xr6:coauthVersionLast="46" xr6:coauthVersionMax="46" xr10:uidLastSave="{00000000-0000-0000-0000-000000000000}"/>
  <bookViews>
    <workbookView xWindow="-108" yWindow="-108" windowWidth="23256" windowHeight="12576" activeTab="1" xr2:uid="{00000000-000D-0000-FFFF-FFFF00000000}"/>
  </bookViews>
  <sheets>
    <sheet name="Project Timeline" sheetId="11" r:id="rId1"/>
    <sheet name="Project Milestone" sheetId="15" r:id="rId2"/>
    <sheet name="About" sheetId="12" r:id="rId3"/>
    <sheet name="Action List" sheetId="13" r:id="rId4"/>
  </sheets>
  <definedNames>
    <definedName name="_xlnm._FilterDatabase" localSheetId="0" hidden="1">'Project Timeline'!$A$1:$G$37</definedName>
    <definedName name="Display_Week">'Project Timeline'!$F$4</definedName>
    <definedName name="_xlnm.Print_Titles" localSheetId="0">'Project Timeline'!$4:$6</definedName>
    <definedName name="Project_Start">'Project Timeline'!$F$3</definedName>
    <definedName name="RankList">'Project Milestone'!#REF!</definedName>
    <definedName name="task_end" localSheetId="0">'Project Timeline'!$G1</definedName>
    <definedName name="task_progress" localSheetId="0">'Project Timeline'!$E1</definedName>
    <definedName name="task_start" localSheetId="0">'Project Timeline'!$F1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11" l="1"/>
  <c r="J4" i="11" s="1"/>
  <c r="I7" i="11"/>
  <c r="I8" i="11"/>
  <c r="F9" i="11"/>
  <c r="I9" i="11"/>
  <c r="I10" i="11"/>
  <c r="G11" i="11"/>
  <c r="F13" i="11" s="1"/>
  <c r="I11" i="11"/>
  <c r="I12" i="11"/>
  <c r="I15" i="11"/>
  <c r="I16" i="11"/>
  <c r="I17" i="11"/>
  <c r="I18" i="11"/>
  <c r="I20" i="11"/>
  <c r="I21" i="11"/>
  <c r="I22" i="11"/>
  <c r="I24" i="11"/>
  <c r="I25" i="11"/>
  <c r="I27" i="11"/>
  <c r="I29" i="11"/>
  <c r="I30" i="11"/>
  <c r="I32" i="11"/>
  <c r="G13" i="11" l="1"/>
  <c r="I13" i="11" s="1"/>
  <c r="K5" i="11"/>
  <c r="J6" i="11"/>
  <c r="I36" i="11"/>
  <c r="K6" i="11" l="1"/>
  <c r="L5" i="11"/>
  <c r="I37" i="11"/>
  <c r="I35" i="11"/>
  <c r="M5" i="11" l="1"/>
  <c r="L6" i="11"/>
  <c r="N5" i="11" l="1"/>
  <c r="M6" i="11"/>
  <c r="O5" i="11" l="1"/>
  <c r="N6" i="11"/>
  <c r="O6" i="11" l="1"/>
  <c r="P5" i="11"/>
  <c r="P6" i="11" l="1"/>
  <c r="Q5" i="11"/>
  <c r="Q4" i="11" l="1"/>
  <c r="R5" i="11"/>
  <c r="Q6" i="11"/>
  <c r="R6" i="11" l="1"/>
  <c r="S5" i="11"/>
  <c r="S6" i="11" l="1"/>
  <c r="T5" i="11"/>
  <c r="T6" i="11" l="1"/>
  <c r="U5" i="11"/>
  <c r="V5" i="11" l="1"/>
  <c r="U6" i="11"/>
  <c r="W5" i="11" l="1"/>
  <c r="V6" i="11"/>
  <c r="X5" i="11" l="1"/>
  <c r="W6" i="11"/>
  <c r="X6" i="11" l="1"/>
  <c r="X4" i="11"/>
  <c r="Y5" i="11"/>
  <c r="Y6" i="11" l="1"/>
  <c r="Z5" i="11"/>
  <c r="Z6" i="11" l="1"/>
  <c r="AA5" i="11"/>
  <c r="AA6" i="11" l="1"/>
  <c r="AB5" i="11"/>
  <c r="AC5" i="11" l="1"/>
  <c r="AB6" i="11"/>
  <c r="AD5" i="11" l="1"/>
  <c r="AC6" i="11"/>
  <c r="AE5" i="11" l="1"/>
  <c r="AD6" i="11"/>
  <c r="AF5" i="11" l="1"/>
  <c r="AE6" i="11"/>
  <c r="AE4" i="11"/>
  <c r="AG5" i="11" l="1"/>
  <c r="AF6" i="11"/>
  <c r="AH5" i="11" l="1"/>
  <c r="AG6" i="11"/>
  <c r="AH6" i="11" l="1"/>
  <c r="AI5" i="11"/>
  <c r="AI6" i="11" l="1"/>
  <c r="AJ5" i="11"/>
  <c r="AJ6" i="11" l="1"/>
  <c r="AK5" i="11"/>
  <c r="AK6" i="11" l="1"/>
  <c r="AL5" i="11"/>
  <c r="AM5" i="11" l="1"/>
  <c r="AL4" i="11"/>
  <c r="AL6" i="11"/>
  <c r="AN5" i="11" l="1"/>
  <c r="AM6" i="11"/>
  <c r="AO5" i="11" l="1"/>
  <c r="AN6" i="11"/>
  <c r="AP5" i="11" l="1"/>
  <c r="AO6" i="11"/>
  <c r="AQ5" i="11" l="1"/>
  <c r="AP6" i="11"/>
  <c r="AR5" i="11" l="1"/>
  <c r="AQ6" i="11"/>
  <c r="AS5" i="11" l="1"/>
  <c r="AR6" i="11"/>
  <c r="AT5" i="11" l="1"/>
  <c r="AS4" i="11"/>
  <c r="AS6" i="11"/>
  <c r="AT6" i="11" l="1"/>
  <c r="AU5" i="11"/>
  <c r="AV5" i="11" l="1"/>
  <c r="AU6" i="11"/>
  <c r="AW5" i="11" l="1"/>
  <c r="AV6" i="11"/>
  <c r="AW6" i="11" l="1"/>
  <c r="AX5" i="11"/>
  <c r="AX6" i="11" l="1"/>
  <c r="AY5" i="11"/>
  <c r="AZ5" i="11" l="1"/>
  <c r="AY6" i="11"/>
  <c r="AZ6" i="11" l="1"/>
  <c r="BA5" i="11"/>
  <c r="AZ4" i="11"/>
  <c r="BA6" i="11" l="1"/>
  <c r="BB5" i="11"/>
  <c r="BB6" i="11" l="1"/>
  <c r="BC5" i="11"/>
  <c r="BC6" i="11" l="1"/>
  <c r="BD5" i="11"/>
  <c r="BD6" i="11" l="1"/>
  <c r="BE5" i="11"/>
  <c r="BE6" i="11" l="1"/>
  <c r="BF5" i="11"/>
  <c r="BF6" i="11" l="1"/>
  <c r="BG5" i="11"/>
  <c r="BG6" i="11" l="1"/>
  <c r="BG4" i="11"/>
  <c r="BH5" i="11"/>
  <c r="BH6" i="11" l="1"/>
  <c r="BI5" i="11"/>
  <c r="BJ5" i="11" l="1"/>
  <c r="BI6" i="11"/>
  <c r="BK5" i="11" l="1"/>
  <c r="BJ6" i="11"/>
  <c r="BL5" i="11" l="1"/>
  <c r="BK6" i="11"/>
  <c r="BM5" i="11" l="1"/>
  <c r="BM6" i="11" s="1"/>
  <c r="BL6" i="11"/>
</calcChain>
</file>

<file path=xl/sharedStrings.xml><?xml version="1.0" encoding="utf-8"?>
<sst xmlns="http://schemas.openxmlformats.org/spreadsheetml/2006/main" count="152" uniqueCount="122">
  <si>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</si>
  <si>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Mower-WC 20-1</t>
  </si>
  <si>
    <t>SIMPLE GANTT CHART by Vertex42.com</t>
  </si>
  <si>
    <t>Enter Company Name in cell B2.</t>
  </si>
  <si>
    <t>Company Name</t>
  </si>
  <si>
    <t>https://www.vertex42.com/ExcelTemplates/simple-gantt-chart.html</t>
  </si>
  <si>
    <t>Enter the name of the Project Lead in cell B3. Enter the Project Start date in cell E3. Pooject Start: label is in cell C3.</t>
  </si>
  <si>
    <t>Project Lead</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</si>
  <si>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</si>
  <si>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</si>
  <si>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</si>
  <si>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</si>
  <si>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</si>
  <si>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</si>
  <si>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</si>
  <si>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</si>
  <si>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</si>
  <si>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</si>
  <si>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</si>
  <si>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</si>
  <si>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</si>
  <si>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Project Kick-Off Meeting</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</si>
  <si>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</si>
  <si>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Give all project members an overview of the project</t>
  </si>
  <si>
    <t>Muhammad Affandi Bin Mansor</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</si>
  <si>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</si>
  <si>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Product design review</t>
  </si>
  <si>
    <t>Review and discuss the functionalities of:
i) Chasis
ii) Connecting arm
iii) Cutter head
iv) Remote control</t>
  </si>
  <si>
    <t>Sample phase title block</t>
  </si>
  <si>
    <t>Change of the product design</t>
  </si>
  <si>
    <t>Research the possible solutions for outcomes/problems from the product's design review</t>
  </si>
  <si>
    <t>3D Model construction</t>
  </si>
  <si>
    <t>Defining all components need to be assembled on the chassis</t>
  </si>
  <si>
    <t>Affandi
Hakim
Acap</t>
  </si>
  <si>
    <t>Dimensioning all mechanical components</t>
  </si>
  <si>
    <t>Affandi
Hakim</t>
  </si>
  <si>
    <t>Sketch 3D model of the mechanical components based on 2D sketch</t>
  </si>
  <si>
    <t xml:space="preserve"> </t>
  </si>
  <si>
    <t>Designing the electrical circuit</t>
  </si>
  <si>
    <t>List all the current, voltage and power drawn by all components</t>
  </si>
  <si>
    <t>Acap
Affandi
Hakim</t>
  </si>
  <si>
    <t>Calculate the size of resistor, capacitor etc. required</t>
  </si>
  <si>
    <t>Acap
Affandi</t>
  </si>
  <si>
    <t>Sketch the electrical circuit in software</t>
  </si>
  <si>
    <t>Acap
Hakim
Affandi</t>
  </si>
  <si>
    <t>Microcontroller programming &amp; testing</t>
  </si>
  <si>
    <t>i) Look for open source codes based on the functionalities of the robot
ii) Amend the codes to suit the purposes of this project</t>
  </si>
  <si>
    <t>Testing and calculate the current, voltage and power supplied to all components</t>
  </si>
  <si>
    <t>Hardware construction</t>
  </si>
  <si>
    <t>Do all the handworks
i) Cutting
ii) Drilling</t>
  </si>
  <si>
    <t>Components assembling</t>
  </si>
  <si>
    <t>Assemble all the mechanical parts together</t>
  </si>
  <si>
    <t>Installing all the electrical components on the chassis</t>
  </si>
  <si>
    <t>Product testing</t>
  </si>
  <si>
    <t>Start the field test of the complete product</t>
  </si>
  <si>
    <t>Evaluate product's performance and energy usage</t>
  </si>
  <si>
    <t>Project revision</t>
  </si>
  <si>
    <t>This is an empty row</t>
  </si>
  <si>
    <t>Discuss among project members if the project's purposes and outcomes are fulfilled/achieved</t>
  </si>
  <si>
    <t>What constructive changes can be done in order to deliver a better product (In terms of project management, technical aspects, product functionalities etc.)</t>
  </si>
  <si>
    <t>This row marks the end of the Project Schedule. DO NOT enter anything in this row. 
Insert new rows ABOVE this one to continue building out your Project Schedule.</t>
  </si>
  <si>
    <t>Insert new rows ABOVE this one</t>
  </si>
  <si>
    <t>Action</t>
  </si>
  <si>
    <t>Details</t>
  </si>
  <si>
    <t>Remarks</t>
  </si>
  <si>
    <t>Status</t>
  </si>
  <si>
    <t>Project Kick-Off meeting</t>
  </si>
  <si>
    <t>i) Give all project members an overview of the project
-Project's purposes and outcomes
-Timeline
-Actual product design</t>
  </si>
  <si>
    <r>
      <t xml:space="preserve">As on </t>
    </r>
    <r>
      <rPr>
        <b/>
        <sz val="11"/>
        <color theme="1"/>
        <rFont val="Calibri"/>
        <family val="2"/>
        <scheme val="minor"/>
      </rPr>
      <t>26/12</t>
    </r>
    <r>
      <rPr>
        <sz val="11"/>
        <color theme="1"/>
        <rFont val="Calibri"/>
        <family val="2"/>
        <scheme val="minor"/>
      </rPr>
      <t>:
i) Change Gantt chart, use the template</t>
    </r>
  </si>
  <si>
    <t>open</t>
  </si>
  <si>
    <t>- Review and discuss the listed functionalities of:
i) Chassis
ii) Connecting arm
iii) Cutter head
iv) Remote controller</t>
  </si>
  <si>
    <r>
      <t xml:space="preserve">As on </t>
    </r>
    <r>
      <rPr>
        <b/>
        <sz val="11"/>
        <color theme="1"/>
        <rFont val="Calibri"/>
        <family val="2"/>
        <scheme val="minor"/>
      </rPr>
      <t>18/12</t>
    </r>
    <r>
      <rPr>
        <sz val="11"/>
        <color theme="1"/>
        <rFont val="Calibri"/>
        <family val="2"/>
        <scheme val="minor"/>
      </rPr>
      <t xml:space="preserve">:
i)  Still no final decision on the </t>
    </r>
    <r>
      <rPr>
        <b/>
        <sz val="11"/>
        <color theme="1"/>
        <rFont val="Calibri"/>
        <family val="2"/>
        <scheme val="minor"/>
      </rPr>
      <t>connecting</t>
    </r>
    <r>
      <rPr>
        <sz val="11"/>
        <color theme="1"/>
        <rFont val="Calibri"/>
        <family val="2"/>
        <scheme val="minor"/>
      </rPr>
      <t xml:space="preserve"> mechanism
ii) The </t>
    </r>
    <r>
      <rPr>
        <b/>
        <sz val="11"/>
        <color theme="1"/>
        <rFont val="Calibri"/>
        <family val="2"/>
        <scheme val="minor"/>
      </rPr>
      <t>cutting</t>
    </r>
    <r>
      <rPr>
        <sz val="11"/>
        <color theme="1"/>
        <rFont val="Calibri"/>
        <family val="2"/>
        <scheme val="minor"/>
      </rPr>
      <t xml:space="preserve"> mechanism is yet to decide
As on </t>
    </r>
    <r>
      <rPr>
        <b/>
        <sz val="11"/>
        <color theme="1"/>
        <rFont val="Calibri"/>
        <family val="2"/>
        <scheme val="minor"/>
      </rPr>
      <t>26/12</t>
    </r>
    <r>
      <rPr>
        <sz val="11"/>
        <color theme="1"/>
        <rFont val="Calibri"/>
        <family val="2"/>
        <scheme val="minor"/>
      </rPr>
      <t>:
i) Cutting mechanism is decided = rotary</t>
    </r>
  </si>
  <si>
    <t>done</t>
  </si>
  <si>
    <t>i) Research the possible solutions for outcomes/problems from the Product design review's phase</t>
  </si>
  <si>
    <t>i) Defining all components need to be assembled on the chassis
ii) Dimensioning all the mechanical components
iii) Sketch the 3D model of the mechanical components in Creo Parametric based on the 2D sketch
iv) Buy extra mechanical parts needed (e.g. metal plate, metal bar, L/U-joints,  screws etc.)</t>
  </si>
  <si>
    <t>i) List all the current, voltage and power drawn by all components
ii) Calculate the size of resistor, capacitor etc. required
iii) Sketch the electrical circuit in software</t>
  </si>
  <si>
    <t>i) Look for open source codes based on the functionalities of the robot
ii) Amend the codes to suit the purposes of this project
iii) Testing and calculate the current, voltage and power supplied to all components</t>
  </si>
  <si>
    <t>i) Do all the handworks
ii) Complete or extend the available chassis in order to place all the electrical components
ii) Construction of the connecting arm and cutter head</t>
  </si>
  <si>
    <t>i) Assemble all the mechanical parts together
ii) Installing all the electrical components on the chassis</t>
  </si>
  <si>
    <t>i) Start the field test of the complete product
ii) Evaluate product's performance and energy usage</t>
  </si>
  <si>
    <t>i) End phase of the project
ii) Discuss among project members if the project's purposes and outcomes are fulfilled/achieved
iii) What constructive changes can be done in order to deliver a better product (In terms of project management, technical aspects, product functionalities etc.)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</si>
  <si>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</si>
  <si>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</si>
  <si>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</si>
  <si>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</si>
  <si>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</si>
  <si>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</si>
  <si>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</si>
  <si>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</si>
  <si>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</si>
  <si>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</si>
  <si>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</si>
  <si>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</si>
  <si>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</si>
  <si>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r>
      <t xml:space="preserve">As on </t>
    </r>
    <r>
      <rPr>
        <b/>
        <sz val="11"/>
        <color theme="1"/>
        <rFont val="Calibri"/>
        <family val="2"/>
        <scheme val="minor"/>
      </rPr>
      <t>26/12:</t>
    </r>
    <r>
      <rPr>
        <sz val="11"/>
        <color theme="1"/>
        <rFont val="Calibri"/>
        <family val="2"/>
        <scheme val="minor"/>
      </rPr>
      <t xml:space="preserve">
i) Remote controller: Added a new function - Emergency stop button)
ii) Connecting arm: Simplify lower vertical pole connection by using only one threaded beam
iii) Attachment from chasis to the connecting arm still </t>
    </r>
    <r>
      <rPr>
        <sz val="11"/>
        <color rgb="FFFF0000"/>
        <rFont val="Calibri"/>
        <family val="2"/>
        <scheme val="minor"/>
      </rPr>
      <t>open</t>
    </r>
    <r>
      <rPr>
        <sz val="11"/>
        <color theme="1"/>
        <rFont val="Calibri"/>
        <family val="2"/>
        <scheme val="minor"/>
      </rPr>
      <t xml:space="preserve">, basic idea is using concept like gopro mounting or L-joint
iv) Blade diameter: 330mm
As on </t>
    </r>
    <r>
      <rPr>
        <b/>
        <sz val="11"/>
        <color theme="1"/>
        <rFont val="Calibri"/>
        <family val="2"/>
        <scheme val="minor"/>
      </rPr>
      <t>27/12</t>
    </r>
    <r>
      <rPr>
        <sz val="11"/>
        <color theme="1"/>
        <rFont val="Calibri"/>
        <family val="2"/>
        <scheme val="minor"/>
      </rPr>
      <t>:
i) Connection arm will be attached to the chasis by using a L-joint
ii) Size of the cutter diameter is reduced to 160mm(including blades)</t>
    </r>
  </si>
  <si>
    <r>
      <t xml:space="preserve">As on </t>
    </r>
    <r>
      <rPr>
        <b/>
        <sz val="11"/>
        <color theme="1"/>
        <rFont val="Calibri"/>
        <family val="2"/>
        <scheme val="minor"/>
      </rPr>
      <t>28/12:</t>
    </r>
    <r>
      <rPr>
        <sz val="11"/>
        <color theme="1"/>
        <rFont val="Calibri"/>
        <family val="2"/>
        <scheme val="minor"/>
      </rPr>
      <t xml:space="preserve">
i) 3D Model needs to tweaked on suspension and back wheel
ii) 3D drawing
iii) Shopping on hold</t>
    </r>
  </si>
  <si>
    <r>
      <t xml:space="preserve">As on </t>
    </r>
    <r>
      <rPr>
        <b/>
        <sz val="11"/>
        <color theme="1"/>
        <rFont val="Calibri"/>
        <family val="2"/>
        <scheme val="minor"/>
      </rPr>
      <t>27/12</t>
    </r>
    <r>
      <rPr>
        <sz val="11"/>
        <color theme="1"/>
        <rFont val="Calibri"/>
        <family val="2"/>
        <scheme val="minor"/>
      </rPr>
      <t xml:space="preserve">:
i) The voltage needed by all users have been listed down in a </t>
    </r>
    <r>
      <rPr>
        <b/>
        <sz val="11"/>
        <color theme="1"/>
        <rFont val="Calibri"/>
        <family val="2"/>
        <scheme val="minor"/>
      </rPr>
      <t xml:space="preserve">Schematic Diagram </t>
    </r>
    <r>
      <rPr>
        <sz val="11"/>
        <color theme="1"/>
        <rFont val="Calibri"/>
        <family val="2"/>
        <scheme val="minor"/>
      </rPr>
      <t xml:space="preserve">ppt 
As on </t>
    </r>
    <r>
      <rPr>
        <b/>
        <sz val="11"/>
        <color theme="1"/>
        <rFont val="Calibri"/>
        <family val="2"/>
        <scheme val="minor"/>
      </rPr>
      <t xml:space="preserve">28/12:
</t>
    </r>
    <r>
      <rPr>
        <sz val="11"/>
        <color theme="1"/>
        <rFont val="Calibri"/>
        <family val="2"/>
        <scheme val="minor"/>
      </rPr>
      <t>i) Current draw from motors needs to be checked on multimeter
ii) 2 Circuits have been drawn (Arduino circuit and Voltage divider for simulation). Circuits still need to be validated</t>
    </r>
  </si>
  <si>
    <t>REMARKS</t>
  </si>
  <si>
    <t>Buy extra mechanical and electronical parts needed (e.g. metal plate, metal bar, L/U-joints, screws etc.)</t>
  </si>
  <si>
    <r>
      <t xml:space="preserve">As on </t>
    </r>
    <r>
      <rPr>
        <b/>
        <sz val="11"/>
        <color theme="1"/>
        <rFont val="Calibri"/>
        <family val="2"/>
        <scheme val="minor"/>
      </rPr>
      <t>28/12:</t>
    </r>
    <r>
      <rPr>
        <sz val="11"/>
        <color theme="1"/>
        <rFont val="Calibri"/>
        <family val="2"/>
        <scheme val="minor"/>
      </rPr>
      <t xml:space="preserve">
i) 3D Model needs to tweaked on suspension and back wheel
ii) 3D drawing
iii) Shopping on hold
As on </t>
    </r>
    <r>
      <rPr>
        <b/>
        <sz val="11"/>
        <color theme="1"/>
        <rFont val="Calibri"/>
        <family val="2"/>
        <scheme val="minor"/>
      </rPr>
      <t xml:space="preserve">31/12:
</t>
    </r>
    <r>
      <rPr>
        <sz val="11"/>
        <color theme="1"/>
        <rFont val="Calibri"/>
        <family val="2"/>
        <scheme val="minor"/>
      </rPr>
      <t xml:space="preserve">i) Needs to buy extra UNO (and NANO) </t>
    </r>
    <r>
      <rPr>
        <sz val="11"/>
        <color rgb="FF00B050"/>
        <rFont val="Calibri"/>
        <family val="2"/>
        <scheme val="minor"/>
      </rPr>
      <t>done-9/1/2021</t>
    </r>
    <r>
      <rPr>
        <sz val="11"/>
        <color theme="1"/>
        <rFont val="Calibri"/>
        <family val="2"/>
        <scheme val="minor"/>
      </rPr>
      <t xml:space="preserve">
ii) Wire for min </t>
    </r>
    <r>
      <rPr>
        <b/>
        <sz val="11"/>
        <color theme="1"/>
        <rFont val="Calibri"/>
        <family val="2"/>
        <scheme val="minor"/>
      </rPr>
      <t xml:space="preserve">5Amp </t>
    </r>
    <r>
      <rPr>
        <sz val="11"/>
        <color theme="1"/>
        <rFont val="Calibri"/>
        <family val="2"/>
        <scheme val="minor"/>
      </rPr>
      <t xml:space="preserve">and </t>
    </r>
    <r>
      <rPr>
        <b/>
        <sz val="11"/>
        <color theme="1"/>
        <rFont val="Calibri"/>
        <family val="2"/>
        <scheme val="minor"/>
      </rPr>
      <t>3Amp</t>
    </r>
    <r>
      <rPr>
        <sz val="11"/>
        <color theme="1"/>
        <rFont val="Calibri"/>
        <family val="2"/>
        <scheme val="minor"/>
      </rPr>
      <t xml:space="preserve"> (neutral and live) </t>
    </r>
    <r>
      <rPr>
        <sz val="11"/>
        <color rgb="FF00B050"/>
        <rFont val="Calibri"/>
        <family val="2"/>
        <scheme val="minor"/>
      </rPr>
      <t>done-9/1/2021</t>
    </r>
    <r>
      <rPr>
        <sz val="11"/>
        <color theme="1"/>
        <rFont val="Calibri"/>
        <family val="2"/>
        <scheme val="minor"/>
      </rPr>
      <t xml:space="preserve">
iii) PCB 40pcs </t>
    </r>
    <r>
      <rPr>
        <sz val="11"/>
        <color rgb="FF00B050"/>
        <rFont val="Calibri"/>
        <family val="2"/>
        <scheme val="minor"/>
      </rPr>
      <t>done-9/1/2021</t>
    </r>
    <r>
      <rPr>
        <sz val="11"/>
        <color theme="1"/>
        <rFont val="Calibri"/>
        <family val="2"/>
        <scheme val="minor"/>
      </rPr>
      <t xml:space="preserve">
iv) PCB terminal (screw mount) </t>
    </r>
    <r>
      <rPr>
        <sz val="11"/>
        <color rgb="FF00B050"/>
        <rFont val="Calibri"/>
        <family val="2"/>
        <scheme val="minor"/>
      </rPr>
      <t>done-9/1/2021</t>
    </r>
    <r>
      <rPr>
        <sz val="11"/>
        <color theme="1"/>
        <rFont val="Calibri"/>
        <family val="2"/>
        <scheme val="minor"/>
      </rPr>
      <t xml:space="preserve">
v) Soldering kit and paste </t>
    </r>
    <r>
      <rPr>
        <sz val="11"/>
        <color rgb="FF00B050"/>
        <rFont val="Calibri"/>
        <family val="2"/>
        <scheme val="minor"/>
      </rPr>
      <t>done-9/1/2021</t>
    </r>
    <r>
      <rPr>
        <sz val="11"/>
        <color theme="1"/>
        <rFont val="Calibri"/>
        <family val="2"/>
        <scheme val="minor"/>
      </rPr>
      <t xml:space="preserve">
vi) USB for arduino </t>
    </r>
    <r>
      <rPr>
        <sz val="11"/>
        <color rgb="FF00B050"/>
        <rFont val="Calibri"/>
        <family val="2"/>
        <scheme val="minor"/>
      </rPr>
      <t xml:space="preserve">done-9/1/2021
</t>
    </r>
    <r>
      <rPr>
        <sz val="11"/>
        <rFont val="Calibri"/>
        <family val="2"/>
        <scheme val="minor"/>
      </rPr>
      <t xml:space="preserve">As on </t>
    </r>
    <r>
      <rPr>
        <b/>
        <sz val="11"/>
        <rFont val="Calibri"/>
        <family val="2"/>
        <scheme val="minor"/>
      </rPr>
      <t xml:space="preserve">10/1:
</t>
    </r>
    <r>
      <rPr>
        <sz val="11"/>
        <rFont val="Calibri"/>
        <family val="2"/>
        <scheme val="minor"/>
      </rPr>
      <t>i) 3D-Modelling is already completed
ii) Refinement still in process e.g. Screw sizes, hole diameter etc. (</t>
    </r>
    <r>
      <rPr>
        <sz val="11"/>
        <color rgb="FFFF0000"/>
        <rFont val="Calibri"/>
        <family val="2"/>
        <scheme val="minor"/>
      </rPr>
      <t>open</t>
    </r>
    <r>
      <rPr>
        <sz val="11"/>
        <rFont val="Calibri"/>
        <family val="2"/>
        <scheme val="minor"/>
      </rPr>
      <t>)</t>
    </r>
  </si>
  <si>
    <r>
      <t xml:space="preserve">As on </t>
    </r>
    <r>
      <rPr>
        <b/>
        <sz val="11"/>
        <color theme="1"/>
        <rFont val="Calibri"/>
        <family val="2"/>
        <scheme val="minor"/>
      </rPr>
      <t>27/12</t>
    </r>
    <r>
      <rPr>
        <sz val="11"/>
        <color theme="1"/>
        <rFont val="Calibri"/>
        <family val="2"/>
        <scheme val="minor"/>
      </rPr>
      <t xml:space="preserve">:
i) The voltage needed by all users have been listed down in a </t>
    </r>
    <r>
      <rPr>
        <b/>
        <sz val="11"/>
        <color theme="1"/>
        <rFont val="Calibri"/>
        <family val="2"/>
        <scheme val="minor"/>
      </rPr>
      <t xml:space="preserve">Schematic Diagram </t>
    </r>
    <r>
      <rPr>
        <sz val="11"/>
        <color theme="1"/>
        <rFont val="Calibri"/>
        <family val="2"/>
        <scheme val="minor"/>
      </rPr>
      <t xml:space="preserve">ppt 
As on </t>
    </r>
    <r>
      <rPr>
        <b/>
        <sz val="11"/>
        <color theme="1"/>
        <rFont val="Calibri"/>
        <family val="2"/>
        <scheme val="minor"/>
      </rPr>
      <t xml:space="preserve">28/12:
</t>
    </r>
    <r>
      <rPr>
        <sz val="11"/>
        <color theme="1"/>
        <rFont val="Calibri"/>
        <family val="2"/>
        <scheme val="minor"/>
      </rPr>
      <t xml:space="preserve">i) Current draw from motors needs to be checked on multimeter
ii) 2 Circuits have been drawn (Arduino circuit and Voltage divider for simulation). Circuits still need to be validated
As on </t>
    </r>
    <r>
      <rPr>
        <b/>
        <sz val="11"/>
        <color theme="1"/>
        <rFont val="Calibri"/>
        <family val="2"/>
        <scheme val="minor"/>
      </rPr>
      <t>31/12</t>
    </r>
    <r>
      <rPr>
        <sz val="11"/>
        <color theme="1"/>
        <rFont val="Calibri"/>
        <family val="2"/>
        <scheme val="minor"/>
      </rPr>
      <t xml:space="preserve">:
i) Electrical circuits need to be adjusted
As on </t>
    </r>
    <r>
      <rPr>
        <b/>
        <sz val="11"/>
        <color theme="1"/>
        <rFont val="Calibri"/>
        <family val="2"/>
        <scheme val="minor"/>
      </rPr>
      <t xml:space="preserve">10/1:
</t>
    </r>
    <r>
      <rPr>
        <sz val="11"/>
        <color theme="1"/>
        <rFont val="Calibri"/>
        <family val="2"/>
        <scheme val="minor"/>
      </rPr>
      <t>i) Electrical circuits need to be adjusted (voltage supply tp chassis motors will be increased from 8V to 12V) (</t>
    </r>
    <r>
      <rPr>
        <sz val="11"/>
        <color rgb="FFFF0000"/>
        <rFont val="Calibri"/>
        <family val="2"/>
        <scheme val="minor"/>
      </rPr>
      <t>open</t>
    </r>
    <r>
      <rPr>
        <sz val="11"/>
        <color theme="1"/>
        <rFont val="Calibri"/>
        <family val="2"/>
        <scheme val="minor"/>
      </rPr>
      <t>)
ii) So far for joystick control operating mode the electrical circuit is completed.
iii) Inbetriebnahme (soldering on pcb) (</t>
    </r>
    <r>
      <rPr>
        <sz val="11"/>
        <color rgb="FFFF0000"/>
        <rFont val="Calibri"/>
        <family val="2"/>
        <scheme val="minor"/>
      </rPr>
      <t>open</t>
    </r>
    <r>
      <rPr>
        <sz val="11"/>
        <color theme="1"/>
        <rFont val="Calibri"/>
        <family val="2"/>
        <scheme val="minor"/>
      </rPr>
      <t>)</t>
    </r>
  </si>
  <si>
    <t>Date</t>
  </si>
  <si>
    <t>Milestone</t>
  </si>
  <si>
    <t>Height</t>
  </si>
  <si>
    <t>Helper Column</t>
  </si>
  <si>
    <t>Project Kickoff</t>
  </si>
  <si>
    <t>Project End</t>
  </si>
  <si>
    <r>
      <t xml:space="preserve">As on </t>
    </r>
    <r>
      <rPr>
        <b/>
        <sz val="11"/>
        <color theme="1"/>
        <rFont val="Calibri"/>
        <family val="2"/>
        <scheme val="minor"/>
      </rPr>
      <t xml:space="preserve">31/12:
</t>
    </r>
    <r>
      <rPr>
        <sz val="11"/>
        <color theme="1"/>
        <rFont val="Calibri"/>
        <family val="2"/>
        <scheme val="minor"/>
      </rPr>
      <t xml:space="preserve">i) Put on hold because components still cannot be bought
As on </t>
    </r>
    <r>
      <rPr>
        <b/>
        <sz val="11"/>
        <color theme="1"/>
        <rFont val="Calibri"/>
        <family val="2"/>
        <scheme val="minor"/>
      </rPr>
      <t xml:space="preserve">19/3:
</t>
    </r>
    <r>
      <rPr>
        <sz val="11"/>
        <color theme="1"/>
        <rFont val="Calibri"/>
        <family val="2"/>
        <scheme val="minor"/>
      </rPr>
      <t xml:space="preserve">i) Platform extension on the chassis is completed
ii) Cutter head construction is completed
iii) Protecting cover for cutter blades is still </t>
    </r>
    <r>
      <rPr>
        <sz val="11"/>
        <color rgb="FFFF0000"/>
        <rFont val="Calibri"/>
        <family val="2"/>
        <scheme val="minor"/>
      </rPr>
      <t>open</t>
    </r>
  </si>
  <si>
    <r>
      <t xml:space="preserve">As on </t>
    </r>
    <r>
      <rPr>
        <b/>
        <sz val="11"/>
        <color theme="1"/>
        <rFont val="Calibri"/>
        <family val="2"/>
        <scheme val="minor"/>
      </rPr>
      <t>19/3</t>
    </r>
    <r>
      <rPr>
        <sz val="11"/>
        <color theme="1"/>
        <rFont val="Calibri"/>
        <family val="2"/>
        <scheme val="minor"/>
      </rPr>
      <t>:
i) Assembly of cutter head and platform extension on the chassis is completed</t>
    </r>
  </si>
  <si>
    <r>
      <t xml:space="preserve">As on </t>
    </r>
    <r>
      <rPr>
        <b/>
        <sz val="11"/>
        <color theme="1"/>
        <rFont val="Calibri"/>
        <family val="2"/>
        <scheme val="minor"/>
      </rPr>
      <t>31/12:</t>
    </r>
    <r>
      <rPr>
        <sz val="11"/>
        <color theme="1"/>
        <rFont val="Calibri"/>
        <family val="2"/>
        <scheme val="minor"/>
      </rPr>
      <t xml:space="preserve">
i) Hakim OLED - 10% youtube learning
ii) Static testing for all motors has been done
iii) Static testing all components combined needs to be done (</t>
    </r>
    <r>
      <rPr>
        <strike/>
        <sz val="11"/>
        <color rgb="FFFF0000"/>
        <rFont val="Calibri"/>
        <family val="2"/>
        <scheme val="minor"/>
      </rPr>
      <t>open</t>
    </r>
    <r>
      <rPr>
        <sz val="11"/>
        <color theme="1"/>
        <rFont val="Calibri"/>
        <family val="2"/>
        <scheme val="minor"/>
      </rPr>
      <t xml:space="preserve">)
As on </t>
    </r>
    <r>
      <rPr>
        <b/>
        <sz val="11"/>
        <color theme="1"/>
        <rFont val="Calibri"/>
        <family val="2"/>
        <scheme val="minor"/>
      </rPr>
      <t>2/1</t>
    </r>
    <r>
      <rPr>
        <sz val="11"/>
        <color theme="1"/>
        <rFont val="Calibri"/>
        <family val="2"/>
        <scheme val="minor"/>
      </rPr>
      <t xml:space="preserve">:
i) Static test for all motors has been done
ii) A </t>
    </r>
    <r>
      <rPr>
        <b/>
        <sz val="11"/>
        <color theme="1"/>
        <rFont val="Calibri"/>
        <family val="2"/>
        <scheme val="minor"/>
      </rPr>
      <t>program</t>
    </r>
    <r>
      <rPr>
        <sz val="11"/>
        <color theme="1"/>
        <rFont val="Calibri"/>
        <family val="2"/>
        <scheme val="minor"/>
      </rPr>
      <t xml:space="preserve"> to </t>
    </r>
    <r>
      <rPr>
        <b/>
        <sz val="11"/>
        <color theme="1"/>
        <rFont val="Calibri"/>
        <family val="2"/>
        <scheme val="minor"/>
      </rPr>
      <t>control</t>
    </r>
    <r>
      <rPr>
        <sz val="11"/>
        <color theme="1"/>
        <rFont val="Calibri"/>
        <family val="2"/>
        <scheme val="minor"/>
      </rPr>
      <t xml:space="preserve"> the chasis movement using joystick and to </t>
    </r>
    <r>
      <rPr>
        <b/>
        <sz val="11"/>
        <color theme="1"/>
        <rFont val="Calibri"/>
        <family val="2"/>
        <scheme val="minor"/>
      </rPr>
      <t>activate</t>
    </r>
    <r>
      <rPr>
        <sz val="11"/>
        <color theme="1"/>
        <rFont val="Calibri"/>
        <family val="2"/>
        <scheme val="minor"/>
      </rPr>
      <t xml:space="preserve"> the cutter motor using a switch has been written.
ii) Motors on chassis run on different speeds by a same current and voltage supplied. Calibration needed (</t>
    </r>
    <r>
      <rPr>
        <sz val="11"/>
        <color rgb="FF00B050"/>
        <rFont val="Calibri"/>
        <family val="2"/>
        <scheme val="minor"/>
      </rPr>
      <t>done</t>
    </r>
    <r>
      <rPr>
        <sz val="11"/>
        <color theme="1"/>
        <rFont val="Calibri"/>
        <family val="2"/>
        <scheme val="minor"/>
      </rPr>
      <t xml:space="preserve">. See </t>
    </r>
    <r>
      <rPr>
        <sz val="11"/>
        <color rgb="FF00B050"/>
        <rFont val="Calibri"/>
        <family val="2"/>
        <scheme val="minor"/>
      </rPr>
      <t xml:space="preserve">done-3 </t>
    </r>
    <r>
      <rPr>
        <sz val="11"/>
        <color theme="1"/>
        <rFont val="Calibri"/>
        <family val="2"/>
        <scheme val="minor"/>
      </rPr>
      <t>below)
iii) Idea to create an algorithm that can smooth the turning process based on the position of joystick (</t>
    </r>
    <r>
      <rPr>
        <sz val="11"/>
        <color rgb="FFFF0000"/>
        <rFont val="Calibri"/>
        <family val="2"/>
        <scheme val="minor"/>
      </rPr>
      <t>open-1</t>
    </r>
    <r>
      <rPr>
        <sz val="11"/>
        <color theme="1"/>
        <rFont val="Calibri"/>
        <family val="2"/>
        <scheme val="minor"/>
      </rPr>
      <t xml:space="preserve">)
As on </t>
    </r>
    <r>
      <rPr>
        <b/>
        <sz val="11"/>
        <color theme="1"/>
        <rFont val="Calibri"/>
        <family val="2"/>
        <scheme val="minor"/>
      </rPr>
      <t>4/1</t>
    </r>
    <r>
      <rPr>
        <sz val="11"/>
        <color theme="1"/>
        <rFont val="Calibri"/>
        <family val="2"/>
        <scheme val="minor"/>
      </rPr>
      <t>:
i) Measure rotational speed by using ultrasonic sensor in order to calibrate the motors. Setup a test bench. (</t>
    </r>
    <r>
      <rPr>
        <sz val="11"/>
        <color rgb="FFFF0000"/>
        <rFont val="Calibri"/>
        <family val="2"/>
        <scheme val="minor"/>
      </rPr>
      <t>open-2</t>
    </r>
    <r>
      <rPr>
        <sz val="11"/>
        <rFont val="Calibri"/>
        <family val="2"/>
        <scheme val="minor"/>
      </rPr>
      <t xml:space="preserve">)
As on </t>
    </r>
    <r>
      <rPr>
        <b/>
        <sz val="11"/>
        <rFont val="Calibri"/>
        <family val="2"/>
        <scheme val="minor"/>
      </rPr>
      <t xml:space="preserve">5/1:
</t>
    </r>
    <r>
      <rPr>
        <sz val="11"/>
        <rFont val="Calibri"/>
        <family val="2"/>
        <scheme val="minor"/>
      </rPr>
      <t>i) Voltage and current for M1 and M2 have been measured
 a. Forward and reverse movement
 b. Voltage is varied using PWM from 6-12V
ii) Both output terminals of L298N motor driver delivered different voltage to the chassis motors
iii) Troubleshoot:
 a. Different in voltage output from both L298N outputs(</t>
    </r>
    <r>
      <rPr>
        <strike/>
        <sz val="11"/>
        <color rgb="FFFF0000"/>
        <rFont val="Calibri"/>
        <family val="2"/>
        <scheme val="minor"/>
      </rPr>
      <t>open-3</t>
    </r>
    <r>
      <rPr>
        <sz val="11"/>
        <color rgb="FFFF0000"/>
        <rFont val="Calibri"/>
        <family val="2"/>
        <scheme val="minor"/>
      </rPr>
      <t xml:space="preserve">. </t>
    </r>
    <r>
      <rPr>
        <sz val="11"/>
        <rFont val="Calibri"/>
        <family val="2"/>
        <scheme val="minor"/>
      </rPr>
      <t>See</t>
    </r>
    <r>
      <rPr>
        <sz val="11"/>
        <color rgb="FF00B050"/>
        <rFont val="Calibri"/>
        <family val="2"/>
        <scheme val="minor"/>
      </rPr>
      <t xml:space="preserve"> done-3 </t>
    </r>
    <r>
      <rPr>
        <sz val="11"/>
        <rFont val="Calibri"/>
        <family val="2"/>
        <scheme val="minor"/>
      </rPr>
      <t>below)
 b. Different between voltage-IST and voltage-SOLL on the L298N outputs (</t>
    </r>
    <r>
      <rPr>
        <strike/>
        <sz val="11"/>
        <color rgb="FFFF0000"/>
        <rFont val="Calibri"/>
        <family val="2"/>
        <scheme val="minor"/>
      </rPr>
      <t>open-4.</t>
    </r>
    <r>
      <rPr>
        <sz val="11"/>
        <color rgb="FFFF0000"/>
        <rFont val="Calibri"/>
        <family val="2"/>
        <scheme val="minor"/>
      </rPr>
      <t xml:space="preserve">  </t>
    </r>
    <r>
      <rPr>
        <sz val="11"/>
        <rFont val="Calibri"/>
        <family val="2"/>
        <scheme val="minor"/>
      </rPr>
      <t>See</t>
    </r>
    <r>
      <rPr>
        <sz val="11"/>
        <color rgb="FF00B050"/>
        <rFont val="Calibri"/>
        <family val="2"/>
        <scheme val="minor"/>
      </rPr>
      <t xml:space="preserve"> done-4 </t>
    </r>
    <r>
      <rPr>
        <sz val="11"/>
        <rFont val="Calibri"/>
        <family val="2"/>
        <scheme val="minor"/>
      </rPr>
      <t xml:space="preserve">below)
As on </t>
    </r>
    <r>
      <rPr>
        <b/>
        <sz val="11"/>
        <rFont val="Calibri"/>
        <family val="2"/>
        <scheme val="minor"/>
      </rPr>
      <t xml:space="preserve">6/1:
</t>
    </r>
    <r>
      <rPr>
        <sz val="11"/>
        <rFont val="Calibri"/>
        <family val="2"/>
        <scheme val="minor"/>
      </rPr>
      <t xml:space="preserve">i) For troubleshoot i.a. --&gt; Arduino forum suggests that </t>
    </r>
    <r>
      <rPr>
        <b/>
        <sz val="11"/>
        <rFont val="Calibri"/>
        <family val="2"/>
        <scheme val="minor"/>
      </rPr>
      <t xml:space="preserve">pin 3 </t>
    </r>
    <r>
      <rPr>
        <sz val="11"/>
        <rFont val="Calibri"/>
        <family val="2"/>
        <scheme val="minor"/>
      </rPr>
      <t>and</t>
    </r>
    <r>
      <rPr>
        <b/>
        <sz val="11"/>
        <rFont val="Calibri"/>
        <family val="2"/>
        <scheme val="minor"/>
      </rPr>
      <t xml:space="preserve"> 4</t>
    </r>
    <r>
      <rPr>
        <sz val="11"/>
        <rFont val="Calibri"/>
        <family val="2"/>
        <scheme val="minor"/>
      </rPr>
      <t xml:space="preserve"> have different </t>
    </r>
    <r>
      <rPr>
        <b/>
        <sz val="11"/>
        <rFont val="Calibri"/>
        <family val="2"/>
        <scheme val="minor"/>
      </rPr>
      <t xml:space="preserve">PWM signal's frequency. </t>
    </r>
    <r>
      <rPr>
        <sz val="11"/>
        <rFont val="Calibri"/>
        <family val="2"/>
        <scheme val="minor"/>
      </rPr>
      <t xml:space="preserve"> This accounts for the different voltage output on both L298N output terminals. (</t>
    </r>
    <r>
      <rPr>
        <sz val="11"/>
        <color rgb="FF00B050"/>
        <rFont val="Calibri"/>
        <family val="2"/>
        <scheme val="minor"/>
      </rPr>
      <t>done-3</t>
    </r>
    <r>
      <rPr>
        <sz val="11"/>
        <rFont val="Calibri"/>
        <family val="2"/>
        <scheme val="minor"/>
      </rPr>
      <t xml:space="preserve">)
ii) Link to forum above: </t>
    </r>
    <r>
      <rPr>
        <u/>
        <sz val="11"/>
        <color theme="4" tint="-0.249977111117893"/>
        <rFont val="Calibri"/>
        <family val="2"/>
        <scheme val="minor"/>
      </rPr>
      <t xml:space="preserve">https://forum.arduino.cc/index.php?topic=324690.0 
</t>
    </r>
    <r>
      <rPr>
        <sz val="11"/>
        <rFont val="Calibri"/>
        <family val="2"/>
        <scheme val="minor"/>
      </rPr>
      <t xml:space="preserve">As on </t>
    </r>
    <r>
      <rPr>
        <b/>
        <sz val="11"/>
        <rFont val="Calibri"/>
        <family val="2"/>
        <scheme val="minor"/>
      </rPr>
      <t xml:space="preserve">8/1:
</t>
    </r>
    <r>
      <rPr>
        <sz val="11"/>
        <rFont val="Calibri"/>
        <family val="2"/>
        <scheme val="minor"/>
      </rPr>
      <t>i) f</t>
    </r>
    <r>
      <rPr>
        <vertAlign val="subscript"/>
        <sz val="11"/>
        <rFont val="Calibri"/>
        <family val="2"/>
        <scheme val="minor"/>
      </rPr>
      <t>PWM</t>
    </r>
    <r>
      <rPr>
        <sz val="11"/>
        <rFont val="Calibri"/>
        <family val="2"/>
        <scheme val="minor"/>
      </rPr>
      <t xml:space="preserve"> is responsible for the amount of current flows into the motors. </t>
    </r>
    <r>
      <rPr>
        <b/>
        <sz val="11"/>
        <rFont val="Calibri"/>
        <family val="2"/>
        <scheme val="minor"/>
      </rPr>
      <t>Low</t>
    </r>
    <r>
      <rPr>
        <sz val="11"/>
        <rFont val="Calibri"/>
        <family val="2"/>
        <scheme val="minor"/>
      </rPr>
      <t xml:space="preserve"> f</t>
    </r>
    <r>
      <rPr>
        <vertAlign val="subscript"/>
        <sz val="11"/>
        <rFont val="Calibri"/>
        <family val="2"/>
        <scheme val="minor"/>
      </rPr>
      <t>PWM</t>
    </r>
    <r>
      <rPr>
        <sz val="11"/>
        <rFont val="Calibri"/>
        <family val="2"/>
        <scheme val="minor"/>
      </rPr>
      <t xml:space="preserve"> accounted for </t>
    </r>
    <r>
      <rPr>
        <b/>
        <sz val="11"/>
        <rFont val="Calibri"/>
        <family val="2"/>
        <scheme val="minor"/>
      </rPr>
      <t>high</t>
    </r>
    <r>
      <rPr>
        <sz val="11"/>
        <rFont val="Calibri"/>
        <family val="2"/>
        <scheme val="minor"/>
      </rPr>
      <t xml:space="preserve"> current flow in the motor --&gt; V=IR is </t>
    </r>
    <r>
      <rPr>
        <b/>
        <sz val="11"/>
        <rFont val="Calibri"/>
        <family val="2"/>
        <scheme val="minor"/>
      </rPr>
      <t xml:space="preserve">high </t>
    </r>
    <r>
      <rPr>
        <sz val="11"/>
        <rFont val="Calibri"/>
        <family val="2"/>
        <scheme val="minor"/>
      </rPr>
      <t>(</t>
    </r>
    <r>
      <rPr>
        <sz val="11"/>
        <color rgb="FF00B050"/>
        <rFont val="Calibri"/>
        <family val="2"/>
        <scheme val="minor"/>
      </rPr>
      <t>done-4</t>
    </r>
    <r>
      <rPr>
        <sz val="11"/>
        <rFont val="Calibri"/>
        <family val="2"/>
        <scheme val="minor"/>
      </rPr>
      <t xml:space="preserve">)
ii) see further explanation in Mower-WC20-1 Notebook --&gt;Test--&gt; Result-calibration straight maneuver (2nd Excel worksheet)
As on </t>
    </r>
    <r>
      <rPr>
        <b/>
        <sz val="11"/>
        <rFont val="Calibri"/>
        <family val="2"/>
        <scheme val="minor"/>
      </rPr>
      <t xml:space="preserve">10/1:
</t>
    </r>
    <r>
      <rPr>
        <sz val="11"/>
        <rFont val="Calibri"/>
        <family val="2"/>
        <scheme val="minor"/>
      </rPr>
      <t xml:space="preserve">i) Fendi:
</t>
    </r>
    <r>
      <rPr>
        <sz val="11"/>
        <color theme="1"/>
        <rFont val="Calibri"/>
        <family val="2"/>
        <scheme val="minor"/>
      </rPr>
      <t xml:space="preserve">  a. Algorithm for turning maneuver still (see </t>
    </r>
    <r>
      <rPr>
        <sz val="11"/>
        <color rgb="FF00B050"/>
        <rFont val="Calibri"/>
        <family val="2"/>
        <scheme val="minor"/>
      </rPr>
      <t>done-5</t>
    </r>
    <r>
      <rPr>
        <sz val="11"/>
        <rFont val="Calibri"/>
        <family val="2"/>
        <scheme val="minor"/>
      </rPr>
      <t>)</t>
    </r>
    <r>
      <rPr>
        <sz val="11"/>
        <color theme="1"/>
        <rFont val="Calibri"/>
        <family val="2"/>
        <scheme val="minor"/>
      </rPr>
      <t xml:space="preserve">
  b. Measure rotational speed for both motors using ultrasonic sensors (</t>
    </r>
    <r>
      <rPr>
        <sz val="11"/>
        <color rgb="FFFF0000"/>
        <rFont val="Calibri"/>
        <family val="2"/>
        <scheme val="minor"/>
      </rPr>
      <t>open</t>
    </r>
    <r>
      <rPr>
        <sz val="11"/>
        <color theme="1"/>
        <rFont val="Calibri"/>
        <family val="2"/>
        <scheme val="minor"/>
      </rPr>
      <t xml:space="preserve">)
  c. To further investigate the effect of </t>
    </r>
    <r>
      <rPr>
        <b/>
        <sz val="11"/>
        <color theme="1"/>
        <rFont val="Calibri"/>
        <family val="2"/>
        <scheme val="minor"/>
      </rPr>
      <t>increasing</t>
    </r>
    <r>
      <rPr>
        <sz val="11"/>
        <color theme="1"/>
        <rFont val="Calibri"/>
        <family val="2"/>
        <scheme val="minor"/>
      </rPr>
      <t xml:space="preserve"> </t>
    </r>
    <r>
      <rPr>
        <b/>
        <sz val="11"/>
        <color theme="1"/>
        <rFont val="Calibri"/>
        <family val="2"/>
        <scheme val="minor"/>
      </rPr>
      <t>f</t>
    </r>
    <r>
      <rPr>
        <b/>
        <vertAlign val="subscript"/>
        <sz val="11"/>
        <color theme="1"/>
        <rFont val="Calibri"/>
        <family val="2"/>
        <scheme val="minor"/>
      </rPr>
      <t>PWM</t>
    </r>
    <r>
      <rPr>
        <vertAlign val="subscript"/>
        <sz val="11"/>
        <color theme="1"/>
        <rFont val="Calibri"/>
        <family val="2"/>
        <scheme val="minor"/>
      </rPr>
      <t xml:space="preserve"> </t>
    </r>
    <r>
      <rPr>
        <sz val="11"/>
        <color theme="1"/>
        <rFont val="Calibri"/>
        <family val="2"/>
        <scheme val="minor"/>
      </rPr>
      <t>on the voltage ouputs of the motor driver. --&gt; increase f</t>
    </r>
    <r>
      <rPr>
        <vertAlign val="subscript"/>
        <sz val="11"/>
        <color theme="1"/>
        <rFont val="Calibri"/>
        <family val="2"/>
        <scheme val="minor"/>
      </rPr>
      <t xml:space="preserve">PWM </t>
    </r>
    <r>
      <rPr>
        <sz val="11"/>
        <color theme="1"/>
        <rFont val="Calibri"/>
        <family val="2"/>
        <scheme val="minor"/>
      </rPr>
      <t>above 980Hz by using specific library in arduino.
ii) Hakim
  a. Still learning to create different pages for menu according to operating modus (e.g. cutter motor, chassis motor, battery status) (</t>
    </r>
    <r>
      <rPr>
        <sz val="11"/>
        <color rgb="FFFF0000"/>
        <rFont val="Calibri"/>
        <family val="2"/>
        <scheme val="minor"/>
      </rPr>
      <t>open</t>
    </r>
    <r>
      <rPr>
        <sz val="11"/>
        <rFont val="Calibri"/>
        <family val="2"/>
        <scheme val="minor"/>
      </rPr>
      <t>)</t>
    </r>
    <r>
      <rPr>
        <sz val="11"/>
        <color theme="1"/>
        <rFont val="Calibri"/>
        <family val="2"/>
        <scheme val="minor"/>
      </rPr>
      <t xml:space="preserve">
  b. Learning an overview about C++ and OOP (</t>
    </r>
    <r>
      <rPr>
        <sz val="11"/>
        <color rgb="FFFF0000"/>
        <rFont val="Calibri"/>
        <family val="2"/>
        <scheme val="minor"/>
      </rPr>
      <t>open</t>
    </r>
    <r>
      <rPr>
        <sz val="11"/>
        <rFont val="Calibri"/>
        <family val="2"/>
        <scheme val="minor"/>
      </rPr>
      <t>)</t>
    </r>
    <r>
      <rPr>
        <sz val="11"/>
        <color theme="1"/>
        <rFont val="Calibri"/>
        <family val="2"/>
        <scheme val="minor"/>
      </rPr>
      <t xml:space="preserve">
  c. First step --&gt; interaction OLED and pushbutton (</t>
    </r>
    <r>
      <rPr>
        <sz val="11"/>
        <color rgb="FFFF0000"/>
        <rFont val="Calibri"/>
        <family val="2"/>
        <scheme val="minor"/>
      </rPr>
      <t>open</t>
    </r>
    <r>
      <rPr>
        <sz val="11"/>
        <rFont val="Calibri"/>
        <family val="2"/>
        <scheme val="minor"/>
      </rPr>
      <t>)
iii) Acap
  a. UNO &amp; mega communication through nRF24L01 is completed
  b. Chassis motors(M1&amp;M2) has been tested and its ok!
  c. Toggle switch for cutter motor also has been connected and ist ok! (represented with LED so far). 
  d. Communication test with actual motor cutter still pending (</t>
    </r>
    <r>
      <rPr>
        <sz val="11"/>
        <color rgb="FFFF0000"/>
        <rFont val="Calibri"/>
        <family val="2"/>
        <scheme val="minor"/>
      </rPr>
      <t>open</t>
    </r>
    <r>
      <rPr>
        <sz val="11"/>
        <rFont val="Calibri"/>
        <family val="2"/>
        <scheme val="minor"/>
      </rPr>
      <t>)
As on 19/3:
i) Fendi:
  a. Turning maneuver is completed but needs minor changes (</t>
    </r>
    <r>
      <rPr>
        <sz val="11"/>
        <color rgb="FF00B050"/>
        <rFont val="Calibri"/>
        <family val="2"/>
        <scheme val="minor"/>
      </rPr>
      <t>done-5</t>
    </r>
    <r>
      <rPr>
        <sz val="11"/>
        <rFont val="Calibri"/>
        <family val="2"/>
        <scheme val="minor"/>
      </rPr>
      <t>)
  b. Radio communication between controller and chassis has been programmed
  c. Testing radio communication for controller/chassis (open)</t>
    </r>
  </si>
  <si>
    <t>Look out and testing the library for radio communication</t>
  </si>
  <si>
    <t xml:space="preserve">Designing the software architecture for OOP </t>
  </si>
  <si>
    <t>Testing output on the LEDs and motors</t>
  </si>
  <si>
    <t>Start of Implementation of the software architecture</t>
  </si>
  <si>
    <t>End of Implementation of the software architecture</t>
  </si>
  <si>
    <t>Add joystick and switch functionalities to the code</t>
  </si>
  <si>
    <t xml:space="preserve">Add the radio communication to the chassis and controller </t>
  </si>
  <si>
    <t>Test and validate the sketches for chassis and controller</t>
  </si>
  <si>
    <t>Release the joystick, switch and LED source code</t>
  </si>
  <si>
    <t>Release the cutter and chassis motor source code</t>
  </si>
  <si>
    <t>Release the sketch for controller</t>
  </si>
  <si>
    <t>Release the sketch for chassis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</si>
</sst>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_(* #,##0.00_);_(* \(#,##0.00\);_(* &quot;-&quot;??_);_(@_)"/>
    <numFmt numFmtId="165" formatCode="m/d/yy;@"/>
    <numFmt numFmtId="166" formatCode="ddd\,\ m/d/yyyy"/>
    <numFmt numFmtId="167" formatCode="mmm\ d\,\ yyyy"/>
    <numFmt numFmtId="168" formatCode="d"/>
    <numFmt numFmtId="169" formatCode="0_ ;\-0\ "/>
    <numFmt numFmtId="170" formatCode="#,##0_ ;\-#,##0\ "/>
  </numFmts>
  <fonts count="39">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1"/>
      <color rgb="FFFF0000"/>
      <name val="Calibri"/>
      <family val="2"/>
      <scheme val="minor"/>
    </font>
    <font>
      <strike/>
      <sz val="11"/>
      <color rgb="FFFF0000"/>
      <name val="Calibri"/>
      <family val="2"/>
      <scheme val="minor"/>
    </font>
    <font>
      <b/>
      <sz val="11"/>
      <name val="Calibri"/>
      <family val="2"/>
      <scheme val="minor"/>
    </font>
    <font>
      <u/>
      <sz val="11"/>
      <color theme="4" tint="-0.249977111117893"/>
      <name val="Calibri"/>
      <family val="2"/>
      <scheme val="minor"/>
    </font>
    <font>
      <sz val="11"/>
      <color rgb="FF00B050"/>
      <name val="Calibri"/>
      <family val="2"/>
      <scheme val="minor"/>
    </font>
    <font>
      <vertAlign val="subscript"/>
      <sz val="11"/>
      <name val="Calibri"/>
      <family val="2"/>
      <scheme val="minor"/>
    </font>
    <font>
      <vertAlign val="subscript"/>
      <sz val="11"/>
      <color theme="1"/>
      <name val="Calibri"/>
      <family val="2"/>
      <scheme val="minor"/>
    </font>
    <font>
      <b/>
      <vertAlign val="subscript"/>
      <sz val="11"/>
      <color theme="1"/>
      <name val="Calibri"/>
      <family val="2"/>
      <scheme val="minor"/>
    </font>
    <font>
      <b/>
      <sz val="18"/>
      <color rgb="FFFF0000"/>
      <name val="GE Inspira"/>
      <family val="2"/>
    </font>
    <font>
      <sz val="12"/>
      <color theme="1"/>
      <name val="Calibri"/>
      <family val="2"/>
      <scheme val="minor"/>
    </font>
    <font>
      <b/>
      <sz val="12"/>
      <color theme="0"/>
      <name val="Calibri"/>
      <family val="2"/>
      <scheme val="minor"/>
    </font>
    <font>
      <sz val="12"/>
      <name val="Calibri"/>
      <family val="2"/>
      <scheme val="minor"/>
    </font>
    <font>
      <b/>
      <sz val="14"/>
      <name val="Calibri"/>
      <family val="2"/>
      <scheme val="minor"/>
    </font>
    <font>
      <sz val="10"/>
      <color theme="9"/>
      <name val="Calibri"/>
      <family val="2"/>
      <scheme val="minor"/>
    </font>
    <font>
      <b/>
      <sz val="14"/>
      <color theme="0" tint="-0.499984740745262"/>
      <name val="Calibri"/>
      <family val="2"/>
      <scheme val="minor"/>
    </font>
    <font>
      <b/>
      <sz val="11"/>
      <color theme="0" tint="-0.499984740745262"/>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8" tint="0.39997558519241921"/>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8" tint="0.79998168889431442"/>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right/>
      <top style="medium">
        <color theme="0" tint="-0.14996795556505021"/>
      </top>
      <bottom/>
      <diagonal/>
    </border>
    <border>
      <left/>
      <right/>
      <top/>
      <bottom style="medium">
        <color theme="0" tint="-0.149967955565050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style="thin">
        <color theme="0"/>
      </left>
      <right/>
      <top style="thin">
        <color theme="0"/>
      </top>
      <bottom/>
      <diagonal/>
    </border>
  </borders>
  <cellStyleXfs count="15">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4"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32" fillId="0" borderId="0"/>
    <xf numFmtId="43" fontId="9" fillId="0" borderId="0" applyFont="0" applyFill="0" applyBorder="0" applyAlignment="0" applyProtection="0"/>
  </cellStyleXfs>
  <cellXfs count="128">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2" borderId="1" xfId="0" applyFont="1" applyFill="1" applyBorder="1" applyAlignment="1">
      <alignment horizontal="left" vertical="center" indent="1"/>
    </xf>
    <xf numFmtId="0" fontId="7" fillId="12" borderId="1" xfId="0" applyFont="1" applyFill="1" applyBorder="1" applyAlignment="1">
      <alignment horizontal="center" vertical="center" wrapText="1"/>
    </xf>
    <xf numFmtId="168" fontId="11" fillId="7" borderId="0" xfId="0" applyNumberFormat="1" applyFont="1" applyFill="1" applyAlignment="1">
      <alignment horizontal="center" vertical="center"/>
    </xf>
    <xf numFmtId="168" fontId="11" fillId="7" borderId="6" xfId="0" applyNumberFormat="1" applyFont="1" applyFill="1" applyBorder="1" applyAlignment="1">
      <alignment horizontal="center" vertical="center"/>
    </xf>
    <xf numFmtId="168" fontId="11" fillId="7" borderId="7" xfId="0" applyNumberFormat="1" applyFont="1" applyFill="1" applyBorder="1" applyAlignment="1">
      <alignment horizontal="center" vertical="center"/>
    </xf>
    <xf numFmtId="0" fontId="12" fillId="11"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165" fontId="0" fillId="8" borderId="2" xfId="0" applyNumberFormat="1" applyFill="1" applyBorder="1" applyAlignment="1">
      <alignment horizontal="center" vertical="center"/>
    </xf>
    <xf numFmtId="165" fontId="5" fillId="8"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165" fontId="0" fillId="9" borderId="2" xfId="0" applyNumberFormat="1" applyFill="1" applyBorder="1" applyAlignment="1">
      <alignment horizontal="center" vertical="center"/>
    </xf>
    <xf numFmtId="165" fontId="5" fillId="9"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165" fontId="0" fillId="6" borderId="2" xfId="0" applyNumberFormat="1" applyFill="1" applyBorder="1" applyAlignment="1">
      <alignment horizontal="center" vertical="center"/>
    </xf>
    <xf numFmtId="165" fontId="5" fillId="6" borderId="2" xfId="0" applyNumberFormat="1" applyFont="1" applyFill="1" applyBorder="1" applyAlignment="1">
      <alignment horizontal="center" vertical="center"/>
    </xf>
    <xf numFmtId="9" fontId="5" fillId="10"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5" fontId="0" fillId="5" borderId="2" xfId="0" applyNumberFormat="1" applyFill="1" applyBorder="1" applyAlignment="1">
      <alignment horizontal="center" vertical="center"/>
    </xf>
    <xf numFmtId="165" fontId="5" fillId="5" borderId="2" xfId="0" applyNumberFormat="1"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5" fontId="9" fillId="3" borderId="2" xfId="10" applyFill="1">
      <alignment horizontal="center" vertical="center"/>
    </xf>
    <xf numFmtId="165" fontId="9" fillId="4" borderId="2" xfId="10" applyFill="1">
      <alignment horizontal="center" vertical="center"/>
    </xf>
    <xf numFmtId="165" fontId="9" fillId="10" borderId="2" xfId="10" applyFill="1">
      <alignment horizontal="center" vertical="center"/>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6" borderId="2" xfId="11" applyFill="1">
      <alignment horizontal="center" vertical="center"/>
    </xf>
    <xf numFmtId="0" fontId="9" fillId="5" borderId="2" xfId="11" applyFill="1">
      <alignment horizontal="center" vertical="center"/>
    </xf>
    <xf numFmtId="0" fontId="0" fillId="13" borderId="0" xfId="0" applyFill="1"/>
    <xf numFmtId="0" fontId="0" fillId="13" borderId="0" xfId="0" applyFill="1" applyAlignment="1">
      <alignment vertical="top"/>
    </xf>
    <xf numFmtId="0" fontId="0" fillId="0" borderId="0" xfId="0" quotePrefix="1" applyAlignment="1">
      <alignment vertical="top" wrapText="1"/>
    </xf>
    <xf numFmtId="15" fontId="0" fillId="0" borderId="0" xfId="0" quotePrefix="1" applyNumberFormat="1" applyAlignment="1">
      <alignment vertical="top" wrapText="1"/>
    </xf>
    <xf numFmtId="0" fontId="0" fillId="0" borderId="0" xfId="0" applyAlignment="1">
      <alignment vertical="top"/>
    </xf>
    <xf numFmtId="0" fontId="9" fillId="4" borderId="2" xfId="12" applyFill="1" applyAlignment="1">
      <alignment horizontal="left" vertical="top" wrapText="1" indent="2"/>
    </xf>
    <xf numFmtId="0" fontId="9" fillId="3" borderId="2" xfId="12" applyFill="1" applyAlignment="1">
      <alignment horizontal="left" vertical="top" wrapText="1"/>
    </xf>
    <xf numFmtId="0" fontId="9" fillId="10" borderId="2" xfId="12" applyFill="1" applyAlignment="1">
      <alignment horizontal="left" vertical="center" wrapText="1" indent="2"/>
    </xf>
    <xf numFmtId="0" fontId="9" fillId="10" borderId="2" xfId="12" applyFill="1" applyAlignment="1">
      <alignment horizontal="left" vertical="top" wrapText="1" indent="2"/>
    </xf>
    <xf numFmtId="0" fontId="9" fillId="3" borderId="2" xfId="11" applyFill="1" applyAlignment="1">
      <alignment horizontal="center" vertical="center" wrapText="1"/>
    </xf>
    <xf numFmtId="0" fontId="31" fillId="0" borderId="0" xfId="0" applyFont="1" applyAlignment="1">
      <alignment vertical="center"/>
    </xf>
    <xf numFmtId="0" fontId="33" fillId="14" borderId="0" xfId="13" applyFont="1" applyFill="1" applyAlignment="1">
      <alignment horizontal="center" vertical="center" wrapText="1"/>
    </xf>
    <xf numFmtId="0" fontId="33" fillId="14" borderId="13" xfId="0" applyFont="1" applyFill="1" applyBorder="1" applyAlignment="1">
      <alignment horizontal="center" vertical="center" wrapText="1"/>
    </xf>
    <xf numFmtId="0" fontId="33" fillId="14" borderId="0" xfId="0" applyFont="1" applyFill="1" applyAlignment="1">
      <alignment horizontal="center" vertical="center" wrapText="1"/>
    </xf>
    <xf numFmtId="0" fontId="34" fillId="15" borderId="15" xfId="13" applyFont="1" applyFill="1" applyBorder="1" applyAlignment="1">
      <alignment horizontal="center"/>
    </xf>
    <xf numFmtId="0" fontId="34" fillId="16" borderId="16" xfId="13" applyFont="1" applyFill="1" applyBorder="1" applyAlignment="1">
      <alignment horizontal="center"/>
    </xf>
    <xf numFmtId="0" fontId="34" fillId="15" borderId="16" xfId="13" applyFont="1" applyFill="1" applyBorder="1" applyAlignment="1">
      <alignment horizontal="center"/>
    </xf>
    <xf numFmtId="169" fontId="35" fillId="0" borderId="0" xfId="14" applyNumberFormat="1" applyFont="1" applyFill="1" applyBorder="1" applyAlignment="1">
      <alignment horizontal="center" vertical="center"/>
    </xf>
    <xf numFmtId="0" fontId="10" fillId="0" borderId="0" xfId="0" applyFont="1"/>
    <xf numFmtId="170" fontId="34" fillId="0" borderId="0" xfId="14" applyNumberFormat="1" applyFont="1" applyFill="1" applyBorder="1" applyAlignment="1">
      <alignment horizontal="center" vertical="center"/>
    </xf>
    <xf numFmtId="0" fontId="10" fillId="0" borderId="0" xfId="0" applyFont="1" applyAlignment="1">
      <alignment vertical="center"/>
    </xf>
    <xf numFmtId="170" fontId="34" fillId="0" borderId="16" xfId="14" applyNumberFormat="1" applyFont="1" applyFill="1" applyBorder="1" applyAlignment="1">
      <alignment horizontal="center"/>
    </xf>
    <xf numFmtId="0" fontId="36" fillId="0" borderId="0" xfId="0" applyFont="1" applyAlignment="1">
      <alignment horizontal="center"/>
    </xf>
    <xf numFmtId="0" fontId="37" fillId="0" borderId="0" xfId="0" applyFont="1"/>
    <xf numFmtId="0" fontId="27" fillId="0" borderId="0" xfId="0" applyFont="1" applyAlignment="1">
      <alignment horizontal="center"/>
    </xf>
    <xf numFmtId="0" fontId="38" fillId="0" borderId="0" xfId="0" applyFont="1"/>
    <xf numFmtId="167" fontId="34" fillId="15" borderId="14" xfId="13" applyNumberFormat="1" applyFont="1" applyFill="1" applyBorder="1" applyAlignment="1">
      <alignment horizontal="center"/>
    </xf>
    <xf numFmtId="167" fontId="0" fillId="0" borderId="0" xfId="0" applyNumberFormat="1"/>
    <xf numFmtId="170" fontId="34" fillId="0" borderId="0" xfId="14" applyNumberFormat="1" applyFont="1" applyFill="1" applyBorder="1" applyAlignment="1">
      <alignment horizontal="center"/>
    </xf>
    <xf numFmtId="0" fontId="9" fillId="10" borderId="2" xfId="12" applyFill="1" applyAlignment="1">
      <alignment horizontal="center" vertical="top" wrapText="1"/>
    </xf>
    <xf numFmtId="165" fontId="0" fillId="10" borderId="2" xfId="0" applyNumberFormat="1" applyFill="1" applyBorder="1" applyAlignment="1">
      <alignment horizontal="center" vertical="center"/>
    </xf>
    <xf numFmtId="165" fontId="5" fillId="10" borderId="2" xfId="0" applyNumberFormat="1" applyFont="1" applyFill="1" applyBorder="1" applyAlignment="1">
      <alignment horizontal="center" vertical="center"/>
    </xf>
    <xf numFmtId="0" fontId="9" fillId="17" borderId="2" xfId="12" applyFill="1" applyAlignment="1">
      <alignment horizontal="left" vertical="top" wrapText="1"/>
    </xf>
    <xf numFmtId="0" fontId="9" fillId="17" borderId="2" xfId="11" applyFill="1">
      <alignment horizontal="center" vertical="center"/>
    </xf>
    <xf numFmtId="165" fontId="9" fillId="17" borderId="2" xfId="10" applyFill="1">
      <alignment horizontal="center" vertical="center"/>
    </xf>
    <xf numFmtId="0" fontId="9" fillId="17" borderId="2" xfId="12" applyFill="1" applyAlignment="1">
      <alignment horizontal="left" vertical="top" wrapText="1" indent="2"/>
    </xf>
    <xf numFmtId="0" fontId="9" fillId="17" borderId="2" xfId="11" applyFill="1" applyAlignment="1">
      <alignment horizontal="center" vertical="center" wrapText="1"/>
    </xf>
    <xf numFmtId="0" fontId="9" fillId="18" borderId="2" xfId="12" applyFill="1" applyAlignment="1">
      <alignment vertical="top" wrapText="1"/>
    </xf>
    <xf numFmtId="165" fontId="9" fillId="18" borderId="2" xfId="10" applyFill="1">
      <alignment horizontal="center" vertical="center"/>
    </xf>
    <xf numFmtId="0" fontId="9" fillId="0" borderId="2" xfId="11" applyFill="1" applyAlignment="1">
      <alignment horizontal="center" vertical="center" wrapText="1"/>
    </xf>
    <xf numFmtId="0" fontId="0" fillId="4" borderId="0" xfId="0" applyFill="1" applyAlignment="1">
      <alignment vertical="top" wrapText="1"/>
    </xf>
    <xf numFmtId="0" fontId="9" fillId="4" borderId="2" xfId="11" applyFill="1" applyAlignment="1">
      <alignment horizontal="center" vertical="center" wrapText="1"/>
    </xf>
    <xf numFmtId="0" fontId="9" fillId="4" borderId="2" xfId="12" applyFill="1" applyAlignment="1">
      <alignment vertical="top" wrapText="1"/>
    </xf>
    <xf numFmtId="0" fontId="0" fillId="10" borderId="0" xfId="0" applyFill="1" applyAlignment="1">
      <alignment vertical="top" wrapText="1"/>
    </xf>
    <xf numFmtId="0" fontId="9" fillId="10" borderId="2" xfId="11" applyFill="1" applyAlignment="1">
      <alignment horizontal="center" vertical="center" wrapText="1"/>
    </xf>
    <xf numFmtId="0" fontId="9" fillId="10" borderId="2" xfId="12" applyFill="1" applyAlignment="1">
      <alignment vertical="top" wrapText="1"/>
    </xf>
    <xf numFmtId="0" fontId="0" fillId="0" borderId="2" xfId="11" applyFont="1" applyFill="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0" xfId="0" applyAlignment="1">
      <alignment horizontal="left" vertical="top" wrapText="1"/>
    </xf>
    <xf numFmtId="167" fontId="0" fillId="7" borderId="4" xfId="0" applyNumberFormat="1" applyFill="1" applyBorder="1" applyAlignment="1">
      <alignment horizontal="left" vertical="center" wrapText="1" indent="1"/>
    </xf>
    <xf numFmtId="167" fontId="0" fillId="7" borderId="1" xfId="0" applyNumberFormat="1" applyFill="1" applyBorder="1" applyAlignment="1">
      <alignment horizontal="left" vertical="center" wrapText="1" indent="1"/>
    </xf>
    <xf numFmtId="167" fontId="0" fillId="7" borderId="5" xfId="0" applyNumberFormat="1" applyFill="1" applyBorder="1" applyAlignment="1">
      <alignment horizontal="left" vertical="center" wrapText="1" indent="1"/>
    </xf>
    <xf numFmtId="0" fontId="9" fillId="0" borderId="0" xfId="8" applyAlignment="1">
      <alignment horizontal="right" indent="1"/>
    </xf>
    <xf numFmtId="0" fontId="9" fillId="0" borderId="7" xfId="8" applyBorder="1" applyAlignment="1">
      <alignment horizontal="right" indent="1"/>
    </xf>
    <xf numFmtId="0" fontId="0" fillId="0" borderId="10" xfId="0" applyBorder="1" applyAlignment="1"/>
    <xf numFmtId="166" fontId="9" fillId="0" borderId="3" xfId="9" applyAlignment="1">
      <alignment horizontal="center" vertical="center"/>
    </xf>
  </cellXfs>
  <cellStyles count="15">
    <cellStyle name="Comma" xfId="4" builtinId="3" customBuiltin="1"/>
    <cellStyle name="Comma 2" xfId="14" xr:uid="{74ACE6F1-3564-44C6-A5F4-A5122CC43E3B}"/>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Normal 2" xfId="13" xr:uid="{EA2BEB6A-9DD4-47F0-BD3E-138EF6B0779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64">
    <dxf>
      <fill>
        <patternFill>
          <bgColor theme="5" tint="0.39994506668294322"/>
        </patternFill>
      </fill>
    </dxf>
    <dxf>
      <fill>
        <patternFill>
          <bgColor rgb="FF00B050"/>
        </patternFill>
      </fill>
    </dxf>
    <dxf>
      <fill>
        <patternFill>
          <bgColor rgb="FFFF0000"/>
        </patternFill>
      </fill>
    </dxf>
    <dxf>
      <fill>
        <patternFill>
          <bgColor rgb="FFFFC000"/>
        </patternFill>
      </fill>
      <border>
        <left/>
        <right/>
      </border>
    </dxf>
    <dxf>
      <fill>
        <patternFill>
          <bgColor rgb="FF00B050"/>
        </patternFill>
      </fill>
    </dxf>
    <dxf>
      <border>
        <left style="thin">
          <color rgb="FFC00000"/>
        </left>
        <right style="thin">
          <color rgb="FFC00000"/>
        </right>
        <vertical/>
        <horizontal/>
      </border>
    </dxf>
    <dxf>
      <fill>
        <patternFill>
          <bgColor rgb="FFFFC000"/>
        </patternFill>
      </fill>
      <border>
        <left/>
        <right/>
      </border>
    </dxf>
    <dxf>
      <fill>
        <patternFill>
          <bgColor rgb="FF00B050"/>
        </patternFill>
      </fill>
    </dxf>
    <dxf>
      <border>
        <left style="thin">
          <color rgb="FFC00000"/>
        </left>
        <right style="thin">
          <color rgb="FFC00000"/>
        </right>
        <vertical/>
        <horizontal/>
      </border>
    </dxf>
    <dxf>
      <fill>
        <patternFill>
          <bgColor rgb="FFFFC000"/>
        </patternFill>
      </fill>
      <border>
        <left/>
        <right/>
      </border>
    </dxf>
    <dxf>
      <fill>
        <patternFill>
          <bgColor rgb="FF00B050"/>
        </patternFill>
      </fill>
    </dxf>
    <dxf>
      <fill>
        <patternFill patternType="none">
          <bgColor auto="1"/>
        </patternFill>
      </fill>
      <border>
        <left style="thin">
          <color rgb="FFC00000"/>
        </left>
        <right style="thin">
          <color rgb="FFC00000"/>
        </right>
        <top style="dashed">
          <color rgb="FFC0C0C0"/>
        </top>
        <bottom style="thin">
          <color rgb="FFC0C0C0"/>
        </bottom>
        <vertical/>
        <horizontal/>
      </border>
    </dxf>
    <dxf>
      <fill>
        <patternFill>
          <bgColor rgb="FFFFC000"/>
        </patternFill>
      </fill>
      <border>
        <left/>
        <right/>
      </border>
    </dxf>
    <dxf>
      <fill>
        <patternFill>
          <bgColor rgb="FF00B050"/>
        </patternFill>
      </fill>
    </dxf>
    <dxf>
      <border>
        <left style="thin">
          <color rgb="FFC00000"/>
        </left>
        <right style="thin">
          <color rgb="FFC00000"/>
        </right>
        <vertical/>
        <horizontal/>
      </border>
    </dxf>
    <dxf>
      <fill>
        <patternFill>
          <bgColor rgb="FFFFC000"/>
        </patternFill>
      </fill>
      <border>
        <left/>
        <right/>
      </border>
    </dxf>
    <dxf>
      <fill>
        <patternFill>
          <bgColor rgb="FF00B050"/>
        </patternFill>
      </fill>
    </dxf>
    <dxf>
      <border>
        <left style="thin">
          <color rgb="FFC00000"/>
        </left>
        <right style="thin">
          <color rgb="FFC00000"/>
        </right>
        <vertical/>
        <horizontal/>
      </border>
    </dxf>
    <dxf>
      <fill>
        <patternFill>
          <bgColor rgb="FFFFC000"/>
        </patternFill>
      </fill>
      <border>
        <left/>
        <right/>
      </border>
    </dxf>
    <dxf>
      <fill>
        <patternFill>
          <bgColor rgb="FF00B050"/>
        </patternFill>
      </fill>
    </dxf>
    <dxf>
      <border>
        <left style="thin">
          <color rgb="FFC00000"/>
        </left>
        <right style="thin">
          <color rgb="FFC00000"/>
        </right>
        <vertical/>
        <horizontal/>
      </border>
    </dxf>
    <dxf>
      <fill>
        <patternFill>
          <bgColor rgb="FFFFC000"/>
        </patternFill>
      </fill>
      <border>
        <left/>
        <right/>
      </border>
    </dxf>
    <dxf>
      <fill>
        <patternFill>
          <bgColor rgb="FF00B050"/>
        </patternFill>
      </fill>
    </dxf>
    <dxf>
      <border>
        <left style="thin">
          <color rgb="FFC00000"/>
        </left>
        <right style="thin">
          <color rgb="FFC00000"/>
        </right>
        <vertical/>
        <horizontal/>
      </border>
    </dxf>
    <dxf>
      <fill>
        <patternFill>
          <bgColor rgb="FFFFC000"/>
        </patternFill>
      </fill>
      <border>
        <left/>
        <right/>
      </border>
    </dxf>
    <dxf>
      <fill>
        <patternFill>
          <bgColor rgb="FF00B050"/>
        </patternFill>
      </fill>
    </dxf>
    <dxf>
      <border>
        <left style="thin">
          <color rgb="FFC00000"/>
        </left>
        <right style="thin">
          <color rgb="FFC00000"/>
        </right>
        <vertical/>
        <horizontal/>
      </border>
    </dxf>
    <dxf>
      <fill>
        <patternFill>
          <bgColor rgb="FFFFC000"/>
        </patternFill>
      </fill>
      <border>
        <left/>
        <right/>
      </border>
    </dxf>
    <dxf>
      <fill>
        <patternFill>
          <bgColor rgb="FF00B050"/>
        </patternFill>
      </fill>
    </dxf>
    <dxf>
      <border>
        <left style="thin">
          <color rgb="FFC00000"/>
        </left>
        <right style="thin">
          <color rgb="FFC00000"/>
        </right>
        <vertical/>
        <horizontal/>
      </border>
    </dxf>
    <dxf>
      <fill>
        <patternFill>
          <bgColor rgb="FFFFC000"/>
        </patternFill>
      </fill>
      <border>
        <left/>
        <right/>
      </border>
    </dxf>
    <dxf>
      <fill>
        <patternFill>
          <bgColor rgb="FF00B050"/>
        </patternFill>
      </fill>
    </dxf>
    <dxf>
      <border>
        <left style="thin">
          <color rgb="FFC00000"/>
        </left>
        <right style="thin">
          <color rgb="FFC00000"/>
        </right>
        <vertical/>
        <horizontal/>
      </border>
    </dxf>
    <dxf>
      <fill>
        <patternFill>
          <bgColor rgb="FFFFC000"/>
        </patternFill>
      </fill>
      <border>
        <left/>
        <right/>
      </border>
    </dxf>
    <dxf>
      <fill>
        <patternFill>
          <bgColor rgb="FF00B050"/>
        </patternFill>
      </fill>
    </dxf>
    <dxf>
      <border>
        <left style="thin">
          <color rgb="FFC00000"/>
        </left>
        <right style="thin">
          <color rgb="FFC00000"/>
        </right>
        <vertical/>
        <horizontal/>
      </border>
    </dxf>
    <dxf>
      <fill>
        <patternFill>
          <bgColor rgb="FFFFC000"/>
        </patternFill>
      </fill>
      <border>
        <left/>
        <right/>
      </border>
    </dxf>
    <dxf>
      <fill>
        <patternFill>
          <bgColor rgb="FF00B050"/>
        </patternFill>
      </fill>
    </dxf>
    <dxf>
      <border>
        <left style="thin">
          <color rgb="FFC00000"/>
        </left>
        <right style="thin">
          <color rgb="FFC00000"/>
        </right>
        <vertical/>
        <horizontal/>
      </border>
    </dxf>
    <dxf>
      <fill>
        <patternFill>
          <bgColor rgb="FFFFC000"/>
        </patternFill>
      </fill>
      <border>
        <left/>
        <right/>
      </border>
    </dxf>
    <dxf>
      <fill>
        <patternFill>
          <bgColor rgb="FF00B050"/>
        </patternFill>
      </fill>
    </dxf>
    <dxf>
      <border>
        <left style="thin">
          <color rgb="FFC00000"/>
        </left>
        <right style="thin">
          <color rgb="FFC00000"/>
        </right>
        <vertical/>
        <horizontal/>
      </border>
    </dxf>
    <dxf>
      <fill>
        <patternFill>
          <bgColor rgb="FFFFC000"/>
        </patternFill>
      </fill>
      <border>
        <left/>
        <right/>
      </border>
    </dxf>
    <dxf>
      <fill>
        <patternFill>
          <bgColor rgb="FF00B050"/>
        </patternFill>
      </fill>
    </dxf>
    <dxf>
      <border>
        <left style="thin">
          <color rgb="FFC00000"/>
        </left>
        <right style="thin">
          <color rgb="FFC00000"/>
        </right>
        <vertical/>
        <horizontal/>
      </border>
    </dxf>
    <dxf>
      <fill>
        <patternFill>
          <bgColor rgb="FFFFC000"/>
        </patternFill>
      </fill>
      <border>
        <left/>
        <right/>
      </border>
    </dxf>
    <dxf>
      <fill>
        <patternFill>
          <bgColor rgb="FF00B050"/>
        </patternFill>
      </fill>
    </dxf>
    <dxf>
      <border>
        <left style="thin">
          <color rgb="FFC00000"/>
        </left>
        <right style="thin">
          <color rgb="FFC00000"/>
        </right>
        <vertical/>
        <horizontal/>
      </border>
    </dxf>
    <dxf>
      <fill>
        <patternFill>
          <bgColor rgb="FFFFC000"/>
        </patternFill>
      </fill>
      <border>
        <left/>
        <right/>
      </border>
    </dxf>
    <dxf>
      <fill>
        <patternFill>
          <bgColor rgb="FF00B050"/>
        </patternFill>
      </fill>
    </dxf>
    <dxf>
      <border>
        <left style="thin">
          <color rgb="FFC00000"/>
        </left>
        <right style="thin">
          <color rgb="FFC00000"/>
        </right>
        <vertical/>
        <horizontal/>
      </border>
    </dxf>
    <dxf>
      <fill>
        <patternFill>
          <bgColor rgb="FFFFC000"/>
        </patternFill>
      </fill>
      <border>
        <left/>
        <right/>
      </border>
    </dxf>
    <dxf>
      <fill>
        <patternFill>
          <bgColor rgb="FF00B050"/>
        </patternFill>
      </fill>
    </dxf>
    <dxf>
      <border>
        <left style="thin">
          <color rgb="FFC00000"/>
        </left>
        <right style="thin">
          <color rgb="FFC00000"/>
        </right>
        <vertical/>
        <horizontal/>
      </border>
    </dxf>
    <dxf>
      <font>
        <b val="0"/>
        <i val="0"/>
        <strike val="0"/>
        <condense val="0"/>
        <extend val="0"/>
        <outline val="0"/>
        <shadow val="0"/>
        <u val="none"/>
        <vertAlign val="baseline"/>
        <sz val="12"/>
        <color auto="1"/>
        <name val="Calibri"/>
        <family val="2"/>
        <scheme val="minor"/>
      </font>
      <numFmt numFmtId="167" formatCode="mmm\ d\,\ yyyy"/>
      <fill>
        <patternFill patternType="solid">
          <fgColor theme="4" tint="0.59999389629810485"/>
          <bgColor theme="4" tint="0.59999389629810485"/>
        </patternFill>
      </fill>
      <alignment horizontal="center" vertical="bottom" textRotation="0" wrapText="0" indent="0" justifyLastLine="0" shrinkToFit="0" readingOrder="0"/>
      <border diagonalUp="0" diagonalDown="0">
        <left/>
        <right/>
        <top style="thick">
          <color theme="0"/>
        </top>
        <bottom/>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63"/>
      <tableStyleElement type="headerRow" dxfId="62"/>
      <tableStyleElement type="totalRow" dxfId="61"/>
      <tableStyleElement type="firstColumn" dxfId="60"/>
      <tableStyleElement type="lastColumn" dxfId="59"/>
      <tableStyleElement type="firstRowStripe" dxfId="58"/>
      <tableStyleElement type="secondRowStripe" dxfId="57"/>
      <tableStyleElement type="firstColumnStripe" dxfId="56"/>
      <tableStyleElement type="secondColumnStripe" dxfId="5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969696"/>
      <color rgb="FFC0C0C0"/>
      <color rgb="FFFDE9D9"/>
      <color rgb="FFCCC020"/>
      <color rgb="FF215881"/>
      <color rgb="FF42648A"/>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none" spc="0" baseline="0">
                <a:ln w="6600">
                  <a:solidFill>
                    <a:schemeClr val="bg1">
                      <a:lumMod val="85000"/>
                    </a:schemeClr>
                  </a:solidFill>
                  <a:prstDash val="solid"/>
                </a:ln>
                <a:solidFill>
                  <a:schemeClr val="accent6">
                    <a:lumMod val="75000"/>
                  </a:schemeClr>
                </a:solidFill>
                <a:effectLst>
                  <a:outerShdw blurRad="50800" dist="38100" dir="8100000" algn="tr" rotWithShape="0">
                    <a:prstClr val="black">
                      <a:alpha val="40000"/>
                    </a:prstClr>
                  </a:outerShdw>
                </a:effectLst>
                <a:latin typeface="+mn-lt"/>
                <a:ea typeface="+mn-ea"/>
                <a:cs typeface="+mn-cs"/>
              </a:defRPr>
            </a:pPr>
            <a:r>
              <a:rPr lang="en-US" sz="2400" b="1" cap="none" spc="0">
                <a:ln w="6600">
                  <a:solidFill>
                    <a:schemeClr val="bg1">
                      <a:lumMod val="85000"/>
                    </a:schemeClr>
                  </a:solidFill>
                  <a:prstDash val="solid"/>
                </a:ln>
                <a:solidFill>
                  <a:schemeClr val="accent6">
                    <a:lumMod val="75000"/>
                  </a:schemeClr>
                </a:solidFill>
                <a:effectLst>
                  <a:outerShdw blurRad="50800" dist="38100" dir="8100000" algn="tr" rotWithShape="0">
                    <a:prstClr val="black">
                      <a:alpha val="40000"/>
                    </a:prstClr>
                  </a:outerShdw>
                </a:effectLst>
              </a:rPr>
              <a:t>Milestone for the software</a:t>
            </a:r>
            <a:r>
              <a:rPr lang="en-US" sz="2400" b="1" cap="none" spc="0" baseline="0">
                <a:ln w="6600">
                  <a:solidFill>
                    <a:schemeClr val="bg1">
                      <a:lumMod val="85000"/>
                    </a:schemeClr>
                  </a:solidFill>
                  <a:prstDash val="solid"/>
                </a:ln>
                <a:solidFill>
                  <a:schemeClr val="accent6">
                    <a:lumMod val="75000"/>
                  </a:schemeClr>
                </a:solidFill>
                <a:effectLst>
                  <a:outerShdw blurRad="50800" dist="38100" dir="8100000" algn="tr" rotWithShape="0">
                    <a:prstClr val="black">
                      <a:alpha val="40000"/>
                    </a:prstClr>
                  </a:outerShdw>
                </a:effectLst>
              </a:rPr>
              <a:t> </a:t>
            </a:r>
            <a:r>
              <a:rPr lang="en-US" sz="2400" b="1" cap="none" spc="0">
                <a:ln w="6600">
                  <a:solidFill>
                    <a:schemeClr val="bg1">
                      <a:lumMod val="85000"/>
                    </a:schemeClr>
                  </a:solidFill>
                  <a:prstDash val="solid"/>
                </a:ln>
                <a:solidFill>
                  <a:schemeClr val="accent6">
                    <a:lumMod val="75000"/>
                  </a:schemeClr>
                </a:solidFill>
                <a:effectLst>
                  <a:outerShdw blurRad="50800" dist="38100" dir="8100000" algn="tr" rotWithShape="0">
                    <a:prstClr val="black">
                      <a:alpha val="40000"/>
                    </a:prstClr>
                  </a:outerShdw>
                </a:effectLst>
              </a:rPr>
              <a:t>development</a:t>
            </a:r>
            <a:r>
              <a:rPr lang="en-US" sz="2400" b="1" cap="none" spc="0" baseline="0">
                <a:ln w="6600">
                  <a:solidFill>
                    <a:schemeClr val="bg1">
                      <a:lumMod val="85000"/>
                    </a:schemeClr>
                  </a:solidFill>
                  <a:prstDash val="solid"/>
                </a:ln>
                <a:solidFill>
                  <a:schemeClr val="accent6">
                    <a:lumMod val="75000"/>
                  </a:schemeClr>
                </a:solidFill>
                <a:effectLst>
                  <a:outerShdw blurRad="50800" dist="38100" dir="8100000" algn="tr" rotWithShape="0">
                    <a:prstClr val="black">
                      <a:alpha val="40000"/>
                    </a:prstClr>
                  </a:outerShdw>
                </a:effectLst>
              </a:rPr>
              <a:t> of</a:t>
            </a:r>
            <a:r>
              <a:rPr lang="en-US" sz="2400" b="1" cap="none" spc="0">
                <a:ln w="6600">
                  <a:solidFill>
                    <a:schemeClr val="bg1">
                      <a:lumMod val="85000"/>
                    </a:schemeClr>
                  </a:solidFill>
                  <a:prstDash val="solid"/>
                </a:ln>
                <a:solidFill>
                  <a:schemeClr val="accent6">
                    <a:lumMod val="75000"/>
                  </a:schemeClr>
                </a:solidFill>
                <a:effectLst>
                  <a:outerShdw blurRad="50800" dist="38100" dir="8100000" algn="tr" rotWithShape="0">
                    <a:prstClr val="black">
                      <a:alpha val="40000"/>
                    </a:prstClr>
                  </a:outerShdw>
                </a:effectLst>
              </a:rPr>
              <a:t> Mower WC 20-1</a:t>
            </a:r>
          </a:p>
        </c:rich>
      </c:tx>
      <c:overlay val="0"/>
      <c:spPr>
        <a:noFill/>
        <a:ln>
          <a:noFill/>
        </a:ln>
        <a:effectLst/>
      </c:spPr>
    </c:title>
    <c:autoTitleDeleted val="0"/>
    <c:plotArea>
      <c:layout>
        <c:manualLayout>
          <c:layoutTarget val="inner"/>
          <c:xMode val="edge"/>
          <c:yMode val="edge"/>
          <c:x val="9.7008781835099381E-2"/>
          <c:y val="1.8358551145419118E-2"/>
          <c:w val="0.86468392865381249"/>
          <c:h val="0.86151052146277329"/>
        </c:manualLayout>
      </c:layout>
      <c:barChart>
        <c:barDir val="col"/>
        <c:grouping val="clustered"/>
        <c:varyColors val="0"/>
        <c:ser>
          <c:idx val="0"/>
          <c:order val="1"/>
          <c:tx>
            <c:strRef>
              <c:f>'Project Milestone'!$C$3</c:f>
              <c:strCache>
                <c:ptCount val="1"/>
                <c:pt idx="0">
                  <c:v>Height</c:v>
                </c:pt>
              </c:strCache>
            </c:strRef>
          </c:tx>
          <c:spPr>
            <a:noFill/>
            <a:ln>
              <a:noFill/>
            </a:ln>
            <a:effectLst/>
          </c:spPr>
          <c:invertIfNegative val="0"/>
          <c:dLbls>
            <c:dLbl>
              <c:idx val="0"/>
              <c:tx>
                <c:rich>
                  <a:bodyPr/>
                  <a:lstStyle/>
                  <a:p>
                    <a:fld id="{39EE4C61-9199-40E0-A722-620176D42DA1}"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536-469B-8E66-B8695590FE0D}"/>
                </c:ext>
              </c:extLst>
            </c:dLbl>
            <c:dLbl>
              <c:idx val="1"/>
              <c:tx>
                <c:rich>
                  <a:bodyPr/>
                  <a:lstStyle/>
                  <a:p>
                    <a:fld id="{34FABEB1-E8D0-4C25-BD97-B523064B7190}"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536-469B-8E66-B8695590FE0D}"/>
                </c:ext>
              </c:extLst>
            </c:dLbl>
            <c:dLbl>
              <c:idx val="2"/>
              <c:tx>
                <c:rich>
                  <a:bodyPr/>
                  <a:lstStyle/>
                  <a:p>
                    <a:fld id="{4107B4F8-311F-4ADE-A2E0-8CEC1578B0F9}"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536-469B-8E66-B8695590FE0D}"/>
                </c:ext>
              </c:extLst>
            </c:dLbl>
            <c:dLbl>
              <c:idx val="3"/>
              <c:tx>
                <c:rich>
                  <a:bodyPr/>
                  <a:lstStyle/>
                  <a:p>
                    <a:fld id="{5581AFEE-491B-4D24-A30E-FD640D8FBC6A}"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536-469B-8E66-B8695590FE0D}"/>
                </c:ext>
              </c:extLst>
            </c:dLbl>
            <c:dLbl>
              <c:idx val="4"/>
              <c:tx>
                <c:rich>
                  <a:bodyPr/>
                  <a:lstStyle/>
                  <a:p>
                    <a:fld id="{7BA6637E-6A04-42B3-B106-3461281C0C31}"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536-469B-8E66-B8695590FE0D}"/>
                </c:ext>
              </c:extLst>
            </c:dLbl>
            <c:dLbl>
              <c:idx val="5"/>
              <c:tx>
                <c:rich>
                  <a:bodyPr/>
                  <a:lstStyle/>
                  <a:p>
                    <a:fld id="{F284EE3F-B01A-4EC5-AB40-280B695C03DB}"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536-469B-8E66-B8695590FE0D}"/>
                </c:ext>
              </c:extLst>
            </c:dLbl>
            <c:dLbl>
              <c:idx val="6"/>
              <c:tx>
                <c:rich>
                  <a:bodyPr/>
                  <a:lstStyle/>
                  <a:p>
                    <a:fld id="{E5F3EBE4-4AE7-4AF4-A20F-E3F2DE47B395}"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536-469B-8E66-B8695590FE0D}"/>
                </c:ext>
              </c:extLst>
            </c:dLbl>
            <c:dLbl>
              <c:idx val="7"/>
              <c:tx>
                <c:rich>
                  <a:bodyPr/>
                  <a:lstStyle/>
                  <a:p>
                    <a:fld id="{484E42B0-D036-483B-BD38-583C82FD3D40}"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536-469B-8E66-B8695590FE0D}"/>
                </c:ext>
              </c:extLst>
            </c:dLbl>
            <c:dLbl>
              <c:idx val="8"/>
              <c:tx>
                <c:rich>
                  <a:bodyPr/>
                  <a:lstStyle/>
                  <a:p>
                    <a:fld id="{F42932B9-4171-460F-8AA9-E12A469D699B}"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536-469B-8E66-B8695590FE0D}"/>
                </c:ext>
              </c:extLst>
            </c:dLbl>
            <c:dLbl>
              <c:idx val="9"/>
              <c:tx>
                <c:rich>
                  <a:bodyPr/>
                  <a:lstStyle/>
                  <a:p>
                    <a:fld id="{1847AF83-9CAE-4418-83C5-59BEC7522514}"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536-469B-8E66-B8695590FE0D}"/>
                </c:ext>
              </c:extLst>
            </c:dLbl>
            <c:dLbl>
              <c:idx val="10"/>
              <c:tx>
                <c:rich>
                  <a:bodyPr/>
                  <a:lstStyle/>
                  <a:p>
                    <a:fld id="{4E1AB2CE-EF9E-4279-B2CE-8BEEF4186F41}"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1CE-4ACA-8D64-9B812E6553B5}"/>
                </c:ext>
              </c:extLst>
            </c:dLbl>
            <c:dLbl>
              <c:idx val="11"/>
              <c:tx>
                <c:rich>
                  <a:bodyPr/>
                  <a:lstStyle/>
                  <a:p>
                    <a:fld id="{86CB3730-2213-42FE-A905-FC9749424ACD}"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73-4108-9128-BBEA580AF5A3}"/>
                </c:ext>
              </c:extLst>
            </c:dLbl>
            <c:dLbl>
              <c:idx val="12"/>
              <c:tx>
                <c:rich>
                  <a:bodyPr/>
                  <a:lstStyle/>
                  <a:p>
                    <a:fld id="{4B9930A3-2F2D-411F-AC4E-CDCE97FC4166}"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373-4108-9128-BBEA580AF5A3}"/>
                </c:ext>
              </c:extLst>
            </c:dLbl>
            <c:dLbl>
              <c:idx val="13"/>
              <c:tx>
                <c:rich>
                  <a:bodyPr/>
                  <a:lstStyle/>
                  <a:p>
                    <a:fld id="{154E5AEC-1FA9-4378-80DB-0163501937BE}"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A66-4223-ACC5-8C173C796185}"/>
                </c:ext>
              </c:extLst>
            </c:dLbl>
            <c:dLbl>
              <c:idx val="14"/>
              <c:tx>
                <c:rich>
                  <a:bodyPr/>
                  <a:lstStyle/>
                  <a:p>
                    <a:endParaRPr lang="en-DE"/>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CA66-4223-ACC5-8C173C796185}"/>
                </c:ext>
              </c:extLst>
            </c:dLbl>
            <c:spPr>
              <a:solidFill>
                <a:schemeClr val="bg1"/>
              </a:solidFill>
              <a:ln>
                <a:solidFill>
                  <a:schemeClr val="tx2"/>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DE"/>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errBars>
            <c:errBarType val="minus"/>
            <c:errValType val="percentage"/>
            <c:noEndCap val="0"/>
            <c:val val="100"/>
            <c:spPr>
              <a:noFill/>
              <a:ln w="9525" cap="flat" cmpd="sng" algn="ctr">
                <a:solidFill>
                  <a:schemeClr val="tx1">
                    <a:lumMod val="65000"/>
                    <a:lumOff val="35000"/>
                  </a:schemeClr>
                </a:solidFill>
                <a:round/>
              </a:ln>
              <a:effectLst/>
            </c:spPr>
          </c:errBars>
          <c:cat>
            <c:numRef>
              <c:f>'Project Milestone'!$A$4:$A$18</c:f>
              <c:numCache>
                <c:formatCode>mmm\ d\,\ yyyy</c:formatCode>
                <c:ptCount val="15"/>
                <c:pt idx="0">
                  <c:v>44191</c:v>
                </c:pt>
                <c:pt idx="1">
                  <c:v>44192</c:v>
                </c:pt>
                <c:pt idx="2">
                  <c:v>44193</c:v>
                </c:pt>
                <c:pt idx="3">
                  <c:v>44194</c:v>
                </c:pt>
                <c:pt idx="4">
                  <c:v>44201</c:v>
                </c:pt>
                <c:pt idx="5">
                  <c:v>44212</c:v>
                </c:pt>
                <c:pt idx="6">
                  <c:v>44219</c:v>
                </c:pt>
                <c:pt idx="7">
                  <c:v>44233</c:v>
                </c:pt>
                <c:pt idx="8">
                  <c:v>44261</c:v>
                </c:pt>
                <c:pt idx="9">
                  <c:v>44275</c:v>
                </c:pt>
                <c:pt idx="10">
                  <c:v>44278</c:v>
                </c:pt>
                <c:pt idx="11">
                  <c:v>44283</c:v>
                </c:pt>
                <c:pt idx="12">
                  <c:v>44290</c:v>
                </c:pt>
                <c:pt idx="13">
                  <c:v>44311</c:v>
                </c:pt>
              </c:numCache>
            </c:numRef>
          </c:cat>
          <c:val>
            <c:numRef>
              <c:f>'Project Milestone'!$C$4:$C$18</c:f>
              <c:numCache>
                <c:formatCode>General</c:formatCode>
                <c:ptCount val="15"/>
                <c:pt idx="0">
                  <c:v>0.3</c:v>
                </c:pt>
                <c:pt idx="1">
                  <c:v>0.4</c:v>
                </c:pt>
                <c:pt idx="2">
                  <c:v>0.5</c:v>
                </c:pt>
                <c:pt idx="3">
                  <c:v>0.6</c:v>
                </c:pt>
                <c:pt idx="4">
                  <c:v>0.7</c:v>
                </c:pt>
                <c:pt idx="5">
                  <c:v>0.8</c:v>
                </c:pt>
                <c:pt idx="6">
                  <c:v>0.35</c:v>
                </c:pt>
                <c:pt idx="7">
                  <c:v>0.4</c:v>
                </c:pt>
                <c:pt idx="8">
                  <c:v>0.4</c:v>
                </c:pt>
                <c:pt idx="9">
                  <c:v>0.45</c:v>
                </c:pt>
                <c:pt idx="10">
                  <c:v>0.5</c:v>
                </c:pt>
                <c:pt idx="11">
                  <c:v>0.6</c:v>
                </c:pt>
                <c:pt idx="12">
                  <c:v>0.8</c:v>
                </c:pt>
                <c:pt idx="13">
                  <c:v>0.5</c:v>
                </c:pt>
              </c:numCache>
            </c:numRef>
          </c:val>
          <c:extLst>
            <c:ext xmlns:c15="http://schemas.microsoft.com/office/drawing/2012/chart" uri="{02D57815-91ED-43cb-92C2-25804820EDAC}">
              <c15:datalabelsRange>
                <c15:f>'Project Milestone'!$B$4:$B$18</c15:f>
                <c15:dlblRangeCache>
                  <c:ptCount val="15"/>
                  <c:pt idx="0">
                    <c:v>Project Kickoff</c:v>
                  </c:pt>
                  <c:pt idx="1">
                    <c:v>Look out and testing the library for radio communication</c:v>
                  </c:pt>
                  <c:pt idx="2">
                    <c:v>Add joystick and switch functionalities to the code</c:v>
                  </c:pt>
                  <c:pt idx="3">
                    <c:v>Testing output on the LEDs and motors</c:v>
                  </c:pt>
                  <c:pt idx="4">
                    <c:v>Designing the software architecture for OOP </c:v>
                  </c:pt>
                  <c:pt idx="5">
                    <c:v>Start of Implementation of the software architecture</c:v>
                  </c:pt>
                  <c:pt idx="6">
                    <c:v>Release the joystick, switch and LED source code</c:v>
                  </c:pt>
                  <c:pt idx="7">
                    <c:v>Release the cutter and chassis motor source code</c:v>
                  </c:pt>
                  <c:pt idx="8">
                    <c:v>Release the sketch for controller</c:v>
                  </c:pt>
                  <c:pt idx="9">
                    <c:v>Release the sketch for chassis</c:v>
                  </c:pt>
                  <c:pt idx="10">
                    <c:v>Add the radio communication to the chassis and controller </c:v>
                  </c:pt>
                  <c:pt idx="11">
                    <c:v>Test and validate the sketches for chassis and controller</c:v>
                  </c:pt>
                  <c:pt idx="12">
                    <c:v>End of Implementation of the software architecture</c:v>
                  </c:pt>
                  <c:pt idx="13">
                    <c:v>Project End</c:v>
                  </c:pt>
                </c15:dlblRangeCache>
              </c15:datalabelsRange>
            </c:ext>
            <c:ext xmlns:c16="http://schemas.microsoft.com/office/drawing/2014/chart" uri="{C3380CC4-5D6E-409C-BE32-E72D297353CC}">
              <c16:uniqueId val="{0000000B-E536-469B-8E66-B8695590FE0D}"/>
            </c:ext>
          </c:extLst>
        </c:ser>
        <c:dLbls>
          <c:dLblPos val="outEnd"/>
          <c:showLegendKey val="0"/>
          <c:showVal val="1"/>
          <c:showCatName val="0"/>
          <c:showSerName val="0"/>
          <c:showPercent val="0"/>
          <c:showBubbleSize val="0"/>
        </c:dLbls>
        <c:gapWidth val="219"/>
        <c:axId val="489632200"/>
        <c:axId val="489630632"/>
      </c:barChart>
      <c:lineChart>
        <c:grouping val="standard"/>
        <c:varyColors val="0"/>
        <c:ser>
          <c:idx val="1"/>
          <c:order val="0"/>
          <c:tx>
            <c:strRef>
              <c:f>'Project Milestone'!$D$3</c:f>
              <c:strCache>
                <c:ptCount val="1"/>
                <c:pt idx="0">
                  <c:v>Helper Column</c:v>
                </c:pt>
              </c:strCache>
            </c:strRef>
          </c:tx>
          <c:spPr>
            <a:ln w="28575" cap="rnd">
              <a:solidFill>
                <a:schemeClr val="accent2"/>
              </a:solidFill>
              <a:round/>
            </a:ln>
            <a:effectLst/>
          </c:spPr>
          <c:marker>
            <c:symbol val="diamond"/>
            <c:size val="9"/>
            <c:spPr>
              <a:solidFill>
                <a:schemeClr val="accent2"/>
              </a:solidFill>
              <a:ln w="28575" cap="flat">
                <a:solidFill>
                  <a:schemeClr val="accent2"/>
                </a:solidFill>
                <a:round/>
              </a:ln>
              <a:effectLst/>
            </c:spPr>
          </c:marker>
          <c:dLbls>
            <c:dLbl>
              <c:idx val="0"/>
              <c:tx>
                <c:rich>
                  <a:bodyPr/>
                  <a:lstStyle/>
                  <a:p>
                    <a:fld id="{116BAEC2-643E-44D3-ADEC-AB207E02DCC4}" type="CELLRANGE">
                      <a:rPr lang="en-DE"/>
                      <a:pPr/>
                      <a:t>[CELLRANGE]</a:t>
                    </a:fld>
                    <a:endParaRPr lang="en-DE"/>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E536-469B-8E66-B8695590FE0D}"/>
                </c:ext>
              </c:extLst>
            </c:dLbl>
            <c:dLbl>
              <c:idx val="1"/>
              <c:tx>
                <c:rich>
                  <a:bodyPr/>
                  <a:lstStyle/>
                  <a:p>
                    <a:fld id="{4DFEBA57-F5FB-4CCD-B9D3-9285CC6452B2}" type="CELLRANGE">
                      <a:rPr lang="en-DE"/>
                      <a:pPr/>
                      <a:t>[CELLRANGE]</a:t>
                    </a:fld>
                    <a:endParaRPr lang="en-DE"/>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E536-469B-8E66-B8695590FE0D}"/>
                </c:ext>
              </c:extLst>
            </c:dLbl>
            <c:dLbl>
              <c:idx val="2"/>
              <c:tx>
                <c:rich>
                  <a:bodyPr/>
                  <a:lstStyle/>
                  <a:p>
                    <a:fld id="{81E8FAD1-796C-406C-9E4E-1C02E1E0A2FB}" type="CELLRANGE">
                      <a:rPr lang="en-DE"/>
                      <a:pPr/>
                      <a:t>[CELLRANGE]</a:t>
                    </a:fld>
                    <a:endParaRPr lang="en-DE"/>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E536-469B-8E66-B8695590FE0D}"/>
                </c:ext>
              </c:extLst>
            </c:dLbl>
            <c:dLbl>
              <c:idx val="3"/>
              <c:tx>
                <c:rich>
                  <a:bodyPr/>
                  <a:lstStyle/>
                  <a:p>
                    <a:fld id="{801C51B2-8AB1-418F-A2BB-D1FACB4A70A6}" type="CELLRANGE">
                      <a:rPr lang="en-DE"/>
                      <a:pPr/>
                      <a:t>[CELLRANGE]</a:t>
                    </a:fld>
                    <a:endParaRPr lang="en-DE"/>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E536-469B-8E66-B8695590FE0D}"/>
                </c:ext>
              </c:extLst>
            </c:dLbl>
            <c:dLbl>
              <c:idx val="4"/>
              <c:tx>
                <c:rich>
                  <a:bodyPr/>
                  <a:lstStyle/>
                  <a:p>
                    <a:fld id="{403491D2-B2CB-4963-892E-68CD9BB95D53}" type="CELLRANGE">
                      <a:rPr lang="en-DE"/>
                      <a:pPr/>
                      <a:t>[CELLRANGE]</a:t>
                    </a:fld>
                    <a:endParaRPr lang="en-DE"/>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E536-469B-8E66-B8695590FE0D}"/>
                </c:ext>
              </c:extLst>
            </c:dLbl>
            <c:dLbl>
              <c:idx val="5"/>
              <c:tx>
                <c:rich>
                  <a:bodyPr/>
                  <a:lstStyle/>
                  <a:p>
                    <a:fld id="{AB75DC36-A65C-4587-AB50-CF0618337D17}" type="CELLRANGE">
                      <a:rPr lang="en-DE"/>
                      <a:pPr/>
                      <a:t>[CELLRANGE]</a:t>
                    </a:fld>
                    <a:endParaRPr lang="en-DE"/>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E536-469B-8E66-B8695590FE0D}"/>
                </c:ext>
              </c:extLst>
            </c:dLbl>
            <c:dLbl>
              <c:idx val="6"/>
              <c:tx>
                <c:rich>
                  <a:bodyPr/>
                  <a:lstStyle/>
                  <a:p>
                    <a:fld id="{4F934709-ED4D-4BD5-B508-AA9C5C5215B0}" type="CELLRANGE">
                      <a:rPr lang="en-DE"/>
                      <a:pPr/>
                      <a:t>[CELLRANGE]</a:t>
                    </a:fld>
                    <a:endParaRPr lang="en-DE"/>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E536-469B-8E66-B8695590FE0D}"/>
                </c:ext>
              </c:extLst>
            </c:dLbl>
            <c:dLbl>
              <c:idx val="7"/>
              <c:tx>
                <c:rich>
                  <a:bodyPr/>
                  <a:lstStyle/>
                  <a:p>
                    <a:fld id="{64A03220-4964-47DB-9578-8A2F4303CDC8}" type="CELLRANGE">
                      <a:rPr lang="en-DE"/>
                      <a:pPr/>
                      <a:t>[CELLRANGE]</a:t>
                    </a:fld>
                    <a:endParaRPr lang="en-DE"/>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E536-469B-8E66-B8695590FE0D}"/>
                </c:ext>
              </c:extLst>
            </c:dLbl>
            <c:dLbl>
              <c:idx val="8"/>
              <c:tx>
                <c:rich>
                  <a:bodyPr/>
                  <a:lstStyle/>
                  <a:p>
                    <a:fld id="{D4EE56A7-2099-4F7B-9D4E-A8B19A757B38}" type="CELLRANGE">
                      <a:rPr lang="en-DE"/>
                      <a:pPr/>
                      <a:t>[CELLRANGE]</a:t>
                    </a:fld>
                    <a:endParaRPr lang="en-DE"/>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E536-469B-8E66-B8695590FE0D}"/>
                </c:ext>
              </c:extLst>
            </c:dLbl>
            <c:dLbl>
              <c:idx val="9"/>
              <c:tx>
                <c:rich>
                  <a:bodyPr/>
                  <a:lstStyle/>
                  <a:p>
                    <a:fld id="{334043B5-1E63-4831-A9C1-763A47313053}" type="CELLRANGE">
                      <a:rPr lang="en-DE"/>
                      <a:pPr/>
                      <a:t>[CELLRANGE]</a:t>
                    </a:fld>
                    <a:endParaRPr lang="en-DE"/>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E536-469B-8E66-B8695590FE0D}"/>
                </c:ext>
              </c:extLst>
            </c:dLbl>
            <c:dLbl>
              <c:idx val="10"/>
              <c:tx>
                <c:rich>
                  <a:bodyPr/>
                  <a:lstStyle/>
                  <a:p>
                    <a:fld id="{C55FE972-89B9-44F9-BD74-719369ED5DC7}" type="CELLRANGE">
                      <a:rPr lang="en-DE"/>
                      <a:pPr/>
                      <a:t>[CELLRANGE]</a:t>
                    </a:fld>
                    <a:endParaRPr lang="en-DE"/>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1CE-4ACA-8D64-9B812E6553B5}"/>
                </c:ext>
              </c:extLst>
            </c:dLbl>
            <c:dLbl>
              <c:idx val="11"/>
              <c:tx>
                <c:rich>
                  <a:bodyPr/>
                  <a:lstStyle/>
                  <a:p>
                    <a:fld id="{2BC4C4C2-0FFE-43A9-9FDE-63E739FED6B5}" type="CELLRANGE">
                      <a:rPr lang="en-DE"/>
                      <a:pPr/>
                      <a:t>[CELLRANGE]</a:t>
                    </a:fld>
                    <a:endParaRPr lang="en-DE"/>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73-4108-9128-BBEA580AF5A3}"/>
                </c:ext>
              </c:extLst>
            </c:dLbl>
            <c:dLbl>
              <c:idx val="12"/>
              <c:tx>
                <c:rich>
                  <a:bodyPr/>
                  <a:lstStyle/>
                  <a:p>
                    <a:fld id="{F5D79D0F-14BC-46F3-A38B-5A46E8A3F292}" type="CELLRANGE">
                      <a:rPr lang="en-DE"/>
                      <a:pPr/>
                      <a:t>[CELLRANGE]</a:t>
                    </a:fld>
                    <a:endParaRPr lang="en-DE"/>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373-4108-9128-BBEA580AF5A3}"/>
                </c:ext>
              </c:extLst>
            </c:dLbl>
            <c:dLbl>
              <c:idx val="13"/>
              <c:tx>
                <c:rich>
                  <a:bodyPr/>
                  <a:lstStyle/>
                  <a:p>
                    <a:fld id="{14D4A590-09CD-4C8C-9FC4-338657AB757B}" type="CELLRANGE">
                      <a:rPr lang="en-DE"/>
                      <a:pPr/>
                      <a:t>[CELLRANGE]</a:t>
                    </a:fld>
                    <a:endParaRPr lang="en-DE"/>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A66-4223-ACC5-8C173C796185}"/>
                </c:ext>
              </c:extLst>
            </c:dLbl>
            <c:dLbl>
              <c:idx val="14"/>
              <c:tx>
                <c:rich>
                  <a:bodyPr/>
                  <a:lstStyle/>
                  <a:p>
                    <a:endParaRPr lang="en-DE"/>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CA66-4223-ACC5-8C173C796185}"/>
                </c:ext>
              </c:extLst>
            </c:dLbl>
            <c:spPr>
              <a:noFill/>
              <a:ln>
                <a:noFill/>
              </a:ln>
              <a:effectLst/>
            </c:spPr>
            <c:txPr>
              <a:bodyPr rot="-5400000" spcFirstLastPara="1" vertOverflow="ellipsis" vert="horz" wrap="square" lIns="72000" tIns="18000" rIns="72000" bIns="1800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DE"/>
              </a:p>
            </c:txPr>
            <c:dLblPos val="b"/>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numRef>
              <c:f>'Project Milestone'!$A$4:$A$18</c:f>
              <c:numCache>
                <c:formatCode>mmm\ d\,\ yyyy</c:formatCode>
                <c:ptCount val="15"/>
                <c:pt idx="0">
                  <c:v>44191</c:v>
                </c:pt>
                <c:pt idx="1">
                  <c:v>44192</c:v>
                </c:pt>
                <c:pt idx="2">
                  <c:v>44193</c:v>
                </c:pt>
                <c:pt idx="3">
                  <c:v>44194</c:v>
                </c:pt>
                <c:pt idx="4">
                  <c:v>44201</c:v>
                </c:pt>
                <c:pt idx="5">
                  <c:v>44212</c:v>
                </c:pt>
                <c:pt idx="6">
                  <c:v>44219</c:v>
                </c:pt>
                <c:pt idx="7">
                  <c:v>44233</c:v>
                </c:pt>
                <c:pt idx="8">
                  <c:v>44261</c:v>
                </c:pt>
                <c:pt idx="9">
                  <c:v>44275</c:v>
                </c:pt>
                <c:pt idx="10">
                  <c:v>44278</c:v>
                </c:pt>
                <c:pt idx="11">
                  <c:v>44283</c:v>
                </c:pt>
                <c:pt idx="12">
                  <c:v>44290</c:v>
                </c:pt>
                <c:pt idx="13">
                  <c:v>44311</c:v>
                </c:pt>
              </c:numCache>
            </c:numRef>
          </c:cat>
          <c:val>
            <c:numRef>
              <c:f>'Project Milestone'!$D$4:$D$18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smooth val="0"/>
          <c:extLst>
            <c:ext xmlns:c15="http://schemas.microsoft.com/office/drawing/2012/chart" uri="{02D57815-91ED-43cb-92C2-25804820EDAC}">
              <c15:datalabelsRange>
                <c15:f>'Project Milestone'!$A$4:$A$18</c15:f>
                <c15:dlblRangeCache>
                  <c:ptCount val="15"/>
                  <c:pt idx="0">
                    <c:v>Dec 26, 2020</c:v>
                  </c:pt>
                  <c:pt idx="1">
                    <c:v>Dec 27, 2020</c:v>
                  </c:pt>
                  <c:pt idx="2">
                    <c:v>Dec 28, 2020</c:v>
                  </c:pt>
                  <c:pt idx="3">
                    <c:v>Dec 29, 2020</c:v>
                  </c:pt>
                  <c:pt idx="4">
                    <c:v>Jan 5, 2021</c:v>
                  </c:pt>
                  <c:pt idx="5">
                    <c:v>Jan 16, 2021</c:v>
                  </c:pt>
                  <c:pt idx="6">
                    <c:v>Jan 23, 2021</c:v>
                  </c:pt>
                  <c:pt idx="7">
                    <c:v>Feb 6, 2021</c:v>
                  </c:pt>
                  <c:pt idx="8">
                    <c:v>Mar 6, 2021</c:v>
                  </c:pt>
                  <c:pt idx="9">
                    <c:v>Mar 20, 2021</c:v>
                  </c:pt>
                  <c:pt idx="10">
                    <c:v>Mar 23, 2021</c:v>
                  </c:pt>
                  <c:pt idx="11">
                    <c:v>Mar 28, 2021</c:v>
                  </c:pt>
                  <c:pt idx="12">
                    <c:v>Apr 4, 2021</c:v>
                  </c:pt>
                  <c:pt idx="13">
                    <c:v>Apr 25, 2021</c:v>
                  </c:pt>
                </c15:dlblRangeCache>
              </c15:datalabelsRange>
            </c:ext>
            <c:ext xmlns:c16="http://schemas.microsoft.com/office/drawing/2014/chart" uri="{C3380CC4-5D6E-409C-BE32-E72D297353CC}">
              <c16:uniqueId val="{0000000C-E536-469B-8E66-B8695590FE0D}"/>
            </c:ext>
          </c:extLst>
        </c:ser>
        <c:dLbls>
          <c:showLegendKey val="0"/>
          <c:showVal val="1"/>
          <c:showCatName val="0"/>
          <c:showSerName val="0"/>
          <c:showPercent val="0"/>
          <c:showBubbleSize val="0"/>
        </c:dLbls>
        <c:marker val="1"/>
        <c:smooth val="0"/>
        <c:axId val="489636904"/>
        <c:axId val="489635728"/>
      </c:lineChart>
      <c:dateAx>
        <c:axId val="489636904"/>
        <c:scaling>
          <c:orientation val="minMax"/>
        </c:scaling>
        <c:delete val="1"/>
        <c:axPos val="b"/>
        <c:numFmt formatCode="mmm\ d\,\ yyyy" sourceLinked="1"/>
        <c:majorTickMark val="out"/>
        <c:minorTickMark val="none"/>
        <c:tickLblPos val="nextTo"/>
        <c:crossAx val="489635728"/>
        <c:crosses val="autoZero"/>
        <c:auto val="1"/>
        <c:lblOffset val="100"/>
        <c:baseTimeUnit val="days"/>
        <c:majorUnit val="1"/>
        <c:majorTimeUnit val="days"/>
        <c:minorUnit val="1"/>
        <c:minorTimeUnit val="months"/>
      </c:dateAx>
      <c:valAx>
        <c:axId val="489635728"/>
        <c:scaling>
          <c:orientation val="minMax"/>
        </c:scaling>
        <c:delete val="1"/>
        <c:axPos val="l"/>
        <c:numFmt formatCode="General" sourceLinked="1"/>
        <c:majorTickMark val="none"/>
        <c:minorTickMark val="none"/>
        <c:tickLblPos val="nextTo"/>
        <c:crossAx val="489636904"/>
        <c:crosses val="autoZero"/>
        <c:crossBetween val="between"/>
      </c:valAx>
      <c:valAx>
        <c:axId val="489630632"/>
        <c:scaling>
          <c:orientation val="minMax"/>
        </c:scaling>
        <c:delete val="1"/>
        <c:axPos val="r"/>
        <c:numFmt formatCode="General" sourceLinked="1"/>
        <c:majorTickMark val="out"/>
        <c:minorTickMark val="none"/>
        <c:tickLblPos val="nextTo"/>
        <c:crossAx val="489632200"/>
        <c:crosses val="max"/>
        <c:crossBetween val="between"/>
      </c:valAx>
      <c:dateAx>
        <c:axId val="489632200"/>
        <c:scaling>
          <c:orientation val="minMax"/>
        </c:scaling>
        <c:delete val="1"/>
        <c:axPos val="b"/>
        <c:numFmt formatCode="mmm\ d\,\ yyyy" sourceLinked="1"/>
        <c:majorTickMark val="out"/>
        <c:minorTickMark val="none"/>
        <c:tickLblPos val="nextTo"/>
        <c:crossAx val="489630632"/>
        <c:crosses val="autoZero"/>
        <c:auto val="1"/>
        <c:lblOffset val="100"/>
        <c:baseTimeUnit val="days"/>
      </c:dateAx>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myexcelonline.com/blog/project-milestone-chart-using-excel/" TargetMode="External"/><Relationship Id="rId7" Type="http://schemas.openxmlformats.org/officeDocument/2006/relationships/chart" Target="../charts/chart1.xml"/><Relationship Id="rId2" Type="http://schemas.openxmlformats.org/officeDocument/2006/relationships/image" Target="../media/image1.png"/><Relationship Id="rId1" Type="http://schemas.openxmlformats.org/officeDocument/2006/relationships/hyperlink" Target="http://www.myexcelonline.com" TargetMode="External"/><Relationship Id="rId6" Type="http://schemas.openxmlformats.org/officeDocument/2006/relationships/hyperlink" Target="http://www.myexcelonline.com/podcast/" TargetMode="External"/><Relationship Id="rId5" Type="http://schemas.openxmlformats.org/officeDocument/2006/relationships/hyperlink" Target="http://www.myexcelonline.com/courses" TargetMode="External"/><Relationship Id="rId4" Type="http://schemas.openxmlformats.org/officeDocument/2006/relationships/hyperlink" Target="http://www.myexcelonline.com/blog/signup"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6</xdr:col>
      <xdr:colOff>493087</xdr:colOff>
      <xdr:row>0</xdr:row>
      <xdr:rowOff>99209</xdr:rowOff>
    </xdr:from>
    <xdr:to>
      <xdr:col>7</xdr:col>
      <xdr:colOff>2114896</xdr:colOff>
      <xdr:row>1</xdr:row>
      <xdr:rowOff>94037</xdr:rowOff>
    </xdr:to>
    <xdr:pic>
      <xdr:nvPicPr>
        <xdr:cNvPr id="2" name="Picture 1">
          <a:hlinkClick xmlns:r="http://schemas.openxmlformats.org/officeDocument/2006/relationships" r:id="rId1"/>
          <a:extLst>
            <a:ext uri="{FF2B5EF4-FFF2-40B4-BE49-F238E27FC236}">
              <a16:creationId xmlns:a16="http://schemas.microsoft.com/office/drawing/2014/main" id="{54389441-E78A-47E9-A7C6-12E12796616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08187" y="99209"/>
          <a:ext cx="2606694" cy="556803"/>
        </a:xfrm>
        <a:prstGeom prst="rect">
          <a:avLst/>
        </a:prstGeom>
        <a:ln>
          <a:noFill/>
        </a:ln>
        <a:effectLst>
          <a:softEdge rad="112500"/>
        </a:effectLst>
      </xdr:spPr>
    </xdr:pic>
    <xdr:clientData/>
  </xdr:twoCellAnchor>
  <xdr:twoCellAnchor>
    <xdr:from>
      <xdr:col>0</xdr:col>
      <xdr:colOff>0</xdr:colOff>
      <xdr:row>0</xdr:row>
      <xdr:rowOff>0</xdr:rowOff>
    </xdr:from>
    <xdr:to>
      <xdr:col>6</xdr:col>
      <xdr:colOff>209550</xdr:colOff>
      <xdr:row>2</xdr:row>
      <xdr:rowOff>0</xdr:rowOff>
    </xdr:to>
    <xdr:sp macro="" textlink="">
      <xdr:nvSpPr>
        <xdr:cNvPr id="3" name="Rounded Rectangle 4">
          <a:extLst>
            <a:ext uri="{FF2B5EF4-FFF2-40B4-BE49-F238E27FC236}">
              <a16:creationId xmlns:a16="http://schemas.microsoft.com/office/drawing/2014/main" id="{514060A3-79D5-43F4-BE2D-D4E61A6C2010}"/>
            </a:ext>
          </a:extLst>
        </xdr:cNvPr>
        <xdr:cNvSpPr/>
      </xdr:nvSpPr>
      <xdr:spPr>
        <a:xfrm>
          <a:off x="0" y="0"/>
          <a:ext cx="8170209" cy="815788"/>
        </a:xfrm>
        <a:prstGeom prst="roundRect">
          <a:avLst/>
        </a:prstGeom>
        <a:solidFill>
          <a:schemeClr val="bg1">
            <a:lumMod val="95000"/>
          </a:schemeClr>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l"/>
          <a:r>
            <a:rPr lang="en-AU" sz="3600" b="1" cap="none" spc="50">
              <a:ln w="11430"/>
              <a:solidFill>
                <a:schemeClr val="accent6"/>
              </a:solidFill>
              <a:effectLst>
                <a:outerShdw blurRad="76200" dist="50800" dir="5400000" algn="tl" rotWithShape="0">
                  <a:srgbClr val="000000">
                    <a:alpha val="65000"/>
                  </a:srgbClr>
                </a:outerShdw>
              </a:effectLst>
              <a:latin typeface="Arial Rounded MT Bold" panose="020F0704030504030204" pitchFamily="34" charset="0"/>
            </a:rPr>
            <a:t>TIMELINE</a:t>
          </a:r>
          <a:r>
            <a:rPr lang="en-AU" sz="3600" b="1" cap="none" spc="50" baseline="0">
              <a:ln w="11430"/>
              <a:solidFill>
                <a:schemeClr val="accent6"/>
              </a:solidFill>
              <a:effectLst>
                <a:outerShdw blurRad="76200" dist="50800" dir="5400000" algn="tl" rotWithShape="0">
                  <a:srgbClr val="000000">
                    <a:alpha val="65000"/>
                  </a:srgbClr>
                </a:outerShdw>
              </a:effectLst>
              <a:latin typeface="Arial Rounded MT Bold" panose="020F0704030504030204" pitchFamily="34" charset="0"/>
            </a:rPr>
            <a:t> OF </a:t>
          </a:r>
          <a:r>
            <a:rPr lang="en-AU" sz="3600" b="1" cap="none" spc="50">
              <a:ln w="11430"/>
              <a:solidFill>
                <a:schemeClr val="accent6"/>
              </a:solidFill>
              <a:effectLst>
                <a:outerShdw blurRad="76200" dist="50800" dir="5400000" algn="tl" rotWithShape="0">
                  <a:srgbClr val="000000">
                    <a:alpha val="65000"/>
                  </a:srgbClr>
                </a:outerShdw>
              </a:effectLst>
              <a:latin typeface="Arial Rounded MT Bold" panose="020F0704030504030204" pitchFamily="34" charset="0"/>
            </a:rPr>
            <a:t>MILESTONES</a:t>
          </a:r>
        </a:p>
      </xdr:txBody>
    </xdr:sp>
    <xdr:clientData/>
  </xdr:twoCellAnchor>
  <xdr:twoCellAnchor>
    <xdr:from>
      <xdr:col>9</xdr:col>
      <xdr:colOff>183758</xdr:colOff>
      <xdr:row>0</xdr:row>
      <xdr:rowOff>184316</xdr:rowOff>
    </xdr:from>
    <xdr:to>
      <xdr:col>12</xdr:col>
      <xdr:colOff>478662</xdr:colOff>
      <xdr:row>2</xdr:row>
      <xdr:rowOff>115765</xdr:rowOff>
    </xdr:to>
    <xdr:sp macro="" textlink="">
      <xdr:nvSpPr>
        <xdr:cNvPr id="4" name="Rounded Rectangle 3">
          <a:hlinkClick xmlns:r="http://schemas.openxmlformats.org/officeDocument/2006/relationships" r:id="rId3"/>
          <a:extLst>
            <a:ext uri="{FF2B5EF4-FFF2-40B4-BE49-F238E27FC236}">
              <a16:creationId xmlns:a16="http://schemas.microsoft.com/office/drawing/2014/main" id="{5F1214A9-EF8E-4F5F-969C-D320F75D5C38}"/>
            </a:ext>
          </a:extLst>
        </xdr:cNvPr>
        <xdr:cNvSpPr/>
      </xdr:nvSpPr>
      <xdr:spPr>
        <a:xfrm>
          <a:off x="10828898" y="184316"/>
          <a:ext cx="1956064" cy="746789"/>
        </a:xfrm>
        <a:prstGeom prst="roundRect">
          <a:avLst/>
        </a:prstGeom>
        <a:solidFill>
          <a:schemeClr val="accent2"/>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GB" sz="1400">
              <a:effectLst>
                <a:outerShdw blurRad="50800" dist="38100" dir="2700000" algn="tl" rotWithShape="0">
                  <a:prstClr val="black">
                    <a:alpha val="40000"/>
                  </a:prstClr>
                </a:outerShdw>
              </a:effectLst>
            </a:rPr>
            <a:t>CLICK TO VIEW THIS TUTORIAL ONLINE &gt;&gt;</a:t>
          </a:r>
        </a:p>
      </xdr:txBody>
    </xdr:sp>
    <xdr:clientData/>
  </xdr:twoCellAnchor>
  <xdr:twoCellAnchor>
    <xdr:from>
      <xdr:col>9</xdr:col>
      <xdr:colOff>188520</xdr:colOff>
      <xdr:row>2</xdr:row>
      <xdr:rowOff>248593</xdr:rowOff>
    </xdr:from>
    <xdr:to>
      <xdr:col>12</xdr:col>
      <xdr:colOff>473900</xdr:colOff>
      <xdr:row>6</xdr:row>
      <xdr:rowOff>24075</xdr:rowOff>
    </xdr:to>
    <xdr:sp macro="" textlink="">
      <xdr:nvSpPr>
        <xdr:cNvPr id="5" name="Rounded Rectangle 5">
          <a:hlinkClick xmlns:r="http://schemas.openxmlformats.org/officeDocument/2006/relationships" r:id="rId4"/>
          <a:extLst>
            <a:ext uri="{FF2B5EF4-FFF2-40B4-BE49-F238E27FC236}">
              <a16:creationId xmlns:a16="http://schemas.microsoft.com/office/drawing/2014/main" id="{18684B31-C2D7-44F3-8DFB-77ED39489ACA}"/>
            </a:ext>
          </a:extLst>
        </xdr:cNvPr>
        <xdr:cNvSpPr/>
      </xdr:nvSpPr>
      <xdr:spPr>
        <a:xfrm>
          <a:off x="10833660" y="1063933"/>
          <a:ext cx="1946540" cy="941342"/>
        </a:xfrm>
        <a:prstGeom prst="roundRect">
          <a:avLst/>
        </a:prstGeom>
        <a:solidFill>
          <a:schemeClr val="accent6"/>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GB" sz="1400">
              <a:effectLst>
                <a:outerShdw blurRad="50800" dist="38100" dir="2700000" algn="tl" rotWithShape="0">
                  <a:prstClr val="black">
                    <a:alpha val="40000"/>
                  </a:prstClr>
                </a:outerShdw>
              </a:effectLst>
            </a:rPr>
            <a:t>SUBSCRIBE TO THE NEWSLETTER &gt;&gt;</a:t>
          </a:r>
        </a:p>
      </xdr:txBody>
    </xdr:sp>
    <xdr:clientData/>
  </xdr:twoCellAnchor>
  <xdr:twoCellAnchor>
    <xdr:from>
      <xdr:col>9</xdr:col>
      <xdr:colOff>169471</xdr:colOff>
      <xdr:row>6</xdr:row>
      <xdr:rowOff>153191</xdr:rowOff>
    </xdr:from>
    <xdr:to>
      <xdr:col>12</xdr:col>
      <xdr:colOff>492950</xdr:colOff>
      <xdr:row>17</xdr:row>
      <xdr:rowOff>0</xdr:rowOff>
    </xdr:to>
    <xdr:sp macro="" textlink="">
      <xdr:nvSpPr>
        <xdr:cNvPr id="6" name="Rounded Rectangle 6">
          <a:hlinkClick xmlns:r="http://schemas.openxmlformats.org/officeDocument/2006/relationships" r:id="rId5"/>
          <a:extLst>
            <a:ext uri="{FF2B5EF4-FFF2-40B4-BE49-F238E27FC236}">
              <a16:creationId xmlns:a16="http://schemas.microsoft.com/office/drawing/2014/main" id="{C2109DC3-F8F3-4880-B591-0B05F77A0872}"/>
            </a:ext>
          </a:extLst>
        </xdr:cNvPr>
        <xdr:cNvSpPr/>
      </xdr:nvSpPr>
      <xdr:spPr>
        <a:xfrm>
          <a:off x="10814611" y="2134391"/>
          <a:ext cx="1984639" cy="759312"/>
        </a:xfrm>
        <a:prstGeom prst="roundRect">
          <a:avLst/>
        </a:prstGeom>
        <a:solidFill>
          <a:srgbClr val="00B050"/>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GB" sz="1400">
              <a:effectLst>
                <a:outerShdw blurRad="50800" dist="38100" dir="2700000" algn="tl" rotWithShape="0">
                  <a:prstClr val="black">
                    <a:alpha val="40000"/>
                  </a:prstClr>
                </a:outerShdw>
              </a:effectLst>
            </a:rPr>
            <a:t>VIEW</a:t>
          </a:r>
          <a:r>
            <a:rPr lang="en-GB" sz="1400" baseline="0">
              <a:effectLst>
                <a:outerShdw blurRad="50800" dist="38100" dir="2700000" algn="tl" rotWithShape="0">
                  <a:prstClr val="black">
                    <a:alpha val="40000"/>
                  </a:prstClr>
                </a:outerShdw>
              </a:effectLst>
            </a:rPr>
            <a:t> OUR ONLINE EXCEL COURSES </a:t>
          </a:r>
          <a:r>
            <a:rPr lang="en-GB" sz="1400">
              <a:effectLst>
                <a:outerShdw blurRad="50800" dist="38100" dir="2700000" algn="tl" rotWithShape="0">
                  <a:prstClr val="black">
                    <a:alpha val="40000"/>
                  </a:prstClr>
                </a:outerShdw>
              </a:effectLst>
            </a:rPr>
            <a:t>&gt;&gt;</a:t>
          </a:r>
        </a:p>
      </xdr:txBody>
    </xdr:sp>
    <xdr:clientData/>
  </xdr:twoCellAnchor>
  <xdr:twoCellAnchor>
    <xdr:from>
      <xdr:col>9</xdr:col>
      <xdr:colOff>173439</xdr:colOff>
      <xdr:row>19</xdr:row>
      <xdr:rowOff>111436</xdr:rowOff>
    </xdr:from>
    <xdr:to>
      <xdr:col>12</xdr:col>
      <xdr:colOff>488981</xdr:colOff>
      <xdr:row>20</xdr:row>
      <xdr:rowOff>175369</xdr:rowOff>
    </xdr:to>
    <xdr:sp macro="" textlink="">
      <xdr:nvSpPr>
        <xdr:cNvPr id="7" name="Rounded Rectangle 7">
          <a:hlinkClick xmlns:r="http://schemas.openxmlformats.org/officeDocument/2006/relationships" r:id="rId6"/>
          <a:extLst>
            <a:ext uri="{FF2B5EF4-FFF2-40B4-BE49-F238E27FC236}">
              <a16:creationId xmlns:a16="http://schemas.microsoft.com/office/drawing/2014/main" id="{33D93432-DB8B-44D5-95DD-0136C8B9397B}"/>
            </a:ext>
          </a:extLst>
        </xdr:cNvPr>
        <xdr:cNvSpPr/>
      </xdr:nvSpPr>
      <xdr:spPr>
        <a:xfrm>
          <a:off x="10818579" y="3022276"/>
          <a:ext cx="1976702" cy="688773"/>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GB" sz="1400">
              <a:effectLst>
                <a:outerShdw blurRad="50800" dist="38100" dir="2700000" algn="tl" rotWithShape="0">
                  <a:prstClr val="black">
                    <a:alpha val="40000"/>
                  </a:prstClr>
                </a:outerShdw>
              </a:effectLst>
            </a:rPr>
            <a:t>LISTEN TO MY EXCEL PODCAST SHOW &gt;&gt;</a:t>
          </a:r>
        </a:p>
      </xdr:txBody>
    </xdr:sp>
    <xdr:clientData/>
  </xdr:twoCellAnchor>
  <xdr:twoCellAnchor>
    <xdr:from>
      <xdr:col>3</xdr:col>
      <xdr:colOff>1138516</xdr:colOff>
      <xdr:row>0</xdr:row>
      <xdr:rowOff>0</xdr:rowOff>
    </xdr:from>
    <xdr:to>
      <xdr:col>16</xdr:col>
      <xdr:colOff>331693</xdr:colOff>
      <xdr:row>37</xdr:row>
      <xdr:rowOff>98612</xdr:rowOff>
    </xdr:to>
    <xdr:graphicFrame macro="">
      <xdr:nvGraphicFramePr>
        <xdr:cNvPr id="8" name="Chart 7">
          <a:extLst>
            <a:ext uri="{FF2B5EF4-FFF2-40B4-BE49-F238E27FC236}">
              <a16:creationId xmlns:a16="http://schemas.microsoft.com/office/drawing/2014/main" id="{5AC0B8A7-F7B1-40DE-9EF7-14793E963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50B80D-83BB-41DC-AD81-5B71BDF0EF48}" name="Table2" displayName="Table2" ref="A3:D17" totalsRowShown="0">
  <autoFilter ref="A3:D17" xr:uid="{9CF3763D-EBE1-46CC-98BD-C3BF784C09CC}"/>
  <tableColumns count="4">
    <tableColumn id="1" xr3:uid="{ADCFC768-E9EC-43F6-BDA8-7E0A9DD10D86}" name="Date" dataDxfId="54" dataCellStyle="Normal 2"/>
    <tableColumn id="2" xr3:uid="{B09D4BD1-A05F-489A-9222-559A1008A778}" name="Milestone"/>
    <tableColumn id="3" xr3:uid="{6B1D0D38-9A51-4A02-80C4-02F5012E4DC4}" name="Height"/>
    <tableColumn id="4" xr3:uid="{F96F344A-AB32-4077-9C15-749E6D3705A4}" name="Helper 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url" TargetMode="External"/><Relationship Id="rId1"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70C0"/>
    <pageSetUpPr fitToPage="1"/>
  </sheetPr>
  <dimension ref="A1:BM41"/>
  <sheetViews>
    <sheetView showGridLines="0" showRuler="0" zoomScale="70" zoomScaleNormal="70" zoomScalePageLayoutView="70" workbookViewId="0">
      <pane ySplit="6" topLeftCell="A15" activePane="bottomLeft" state="frozen"/>
      <selection activeCell="A43" sqref="A43"/>
      <selection pane="bottomLeft" activeCell="K43" sqref="K43"/>
    </sheetView>
  </sheetViews>
  <sheetFormatPr defaultColWidth="8.88671875" defaultRowHeight="30" customHeight="1" outlineLevelRow="1"/>
  <cols>
    <col min="1" max="1" width="2.6640625" style="55" customWidth="1"/>
    <col min="2" max="2" width="19.88671875" customWidth="1"/>
    <col min="3" max="3" width="30.6640625" customWidth="1"/>
    <col min="4" max="4" width="87.6640625" customWidth="1"/>
    <col min="5" max="5" width="14" customWidth="1"/>
    <col min="6" max="6" width="10.44140625" style="5" customWidth="1"/>
    <col min="7" max="7" width="10.44140625" customWidth="1"/>
    <col min="8" max="8" width="2.6640625" customWidth="1"/>
    <col min="9" max="9" width="7.44140625" customWidth="1"/>
    <col min="10" max="10" width="2.5546875" customWidth="1"/>
    <col min="11" max="11" width="3.33203125" customWidth="1"/>
    <col min="12" max="14" width="2.5546875" customWidth="1"/>
    <col min="15" max="15" width="2.6640625" customWidth="1"/>
    <col min="16" max="16" width="2.6640625" bestFit="1" customWidth="1"/>
    <col min="17" max="64" width="2.5546875" customWidth="1"/>
    <col min="65" max="65" width="3" customWidth="1"/>
    <col min="66" max="73" width="8.88671875" customWidth="1"/>
  </cols>
  <sheetData>
    <row r="1" spans="1:65" ht="30" customHeight="1">
      <c r="A1" s="56" t="s">
        <v>0</v>
      </c>
      <c r="B1" s="60" t="s">
        <v>1</v>
      </c>
      <c r="C1" s="1"/>
      <c r="D1" s="1"/>
      <c r="E1" s="2"/>
      <c r="F1" s="4"/>
      <c r="G1" s="44"/>
      <c r="I1" s="2"/>
      <c r="J1" s="14" t="s">
        <v>2</v>
      </c>
    </row>
    <row r="2" spans="1:65" ht="30" customHeight="1">
      <c r="A2" s="55" t="s">
        <v>3</v>
      </c>
      <c r="B2" s="61" t="s">
        <v>4</v>
      </c>
      <c r="J2" s="58" t="s">
        <v>5</v>
      </c>
    </row>
    <row r="3" spans="1:65" ht="30" customHeight="1">
      <c r="A3" s="55" t="s">
        <v>6</v>
      </c>
      <c r="B3" s="62" t="s">
        <v>7</v>
      </c>
      <c r="C3" s="124" t="s">
        <v>8</v>
      </c>
      <c r="D3" s="124"/>
      <c r="E3" s="125"/>
      <c r="F3" s="127">
        <v>44191</v>
      </c>
      <c r="G3" s="127"/>
    </row>
    <row r="4" spans="1:65" ht="30" customHeight="1">
      <c r="A4" s="56" t="s">
        <v>9</v>
      </c>
      <c r="C4" s="124" t="s">
        <v>10</v>
      </c>
      <c r="D4" s="124"/>
      <c r="E4" s="125"/>
      <c r="F4" s="7">
        <v>1</v>
      </c>
      <c r="J4" s="121">
        <f>J5</f>
        <v>44186</v>
      </c>
      <c r="K4" s="122"/>
      <c r="L4" s="122"/>
      <c r="M4" s="122"/>
      <c r="N4" s="122"/>
      <c r="O4" s="122"/>
      <c r="P4" s="123"/>
      <c r="Q4" s="121">
        <f>Q5</f>
        <v>44193</v>
      </c>
      <c r="R4" s="122"/>
      <c r="S4" s="122"/>
      <c r="T4" s="122"/>
      <c r="U4" s="122"/>
      <c r="V4" s="122"/>
      <c r="W4" s="123"/>
      <c r="X4" s="121">
        <f>X5</f>
        <v>44200</v>
      </c>
      <c r="Y4" s="122"/>
      <c r="Z4" s="122"/>
      <c r="AA4" s="122"/>
      <c r="AB4" s="122"/>
      <c r="AC4" s="122"/>
      <c r="AD4" s="123"/>
      <c r="AE4" s="121">
        <f>AE5</f>
        <v>44207</v>
      </c>
      <c r="AF4" s="122"/>
      <c r="AG4" s="122"/>
      <c r="AH4" s="122"/>
      <c r="AI4" s="122"/>
      <c r="AJ4" s="122"/>
      <c r="AK4" s="123"/>
      <c r="AL4" s="121">
        <f>AL5</f>
        <v>44214</v>
      </c>
      <c r="AM4" s="122"/>
      <c r="AN4" s="122"/>
      <c r="AO4" s="122"/>
      <c r="AP4" s="122"/>
      <c r="AQ4" s="122"/>
      <c r="AR4" s="123"/>
      <c r="AS4" s="121">
        <f>AS5</f>
        <v>44221</v>
      </c>
      <c r="AT4" s="122"/>
      <c r="AU4" s="122"/>
      <c r="AV4" s="122"/>
      <c r="AW4" s="122"/>
      <c r="AX4" s="122"/>
      <c r="AY4" s="123"/>
      <c r="AZ4" s="121">
        <f>AZ5</f>
        <v>44228</v>
      </c>
      <c r="BA4" s="122"/>
      <c r="BB4" s="122"/>
      <c r="BC4" s="122"/>
      <c r="BD4" s="122"/>
      <c r="BE4" s="122"/>
      <c r="BF4" s="123"/>
      <c r="BG4" s="121">
        <f>BG5</f>
        <v>44235</v>
      </c>
      <c r="BH4" s="122"/>
      <c r="BI4" s="122"/>
      <c r="BJ4" s="122"/>
      <c r="BK4" s="122"/>
      <c r="BL4" s="122"/>
      <c r="BM4" s="123"/>
    </row>
    <row r="5" spans="1:65" ht="15" customHeight="1">
      <c r="A5" s="56" t="s">
        <v>11</v>
      </c>
      <c r="B5" s="126"/>
      <c r="C5" s="126"/>
      <c r="D5" s="126"/>
      <c r="E5" s="126"/>
      <c r="F5" s="126"/>
      <c r="G5" s="126"/>
      <c r="H5" s="126"/>
      <c r="J5" s="11">
        <f>Project_Start-WEEKDAY(Project_Start,1)+2+7*(Display_Week-1)</f>
        <v>44186</v>
      </c>
      <c r="K5" s="10">
        <f>J5+1</f>
        <v>44187</v>
      </c>
      <c r="L5" s="10">
        <f t="shared" ref="L5:AY5" si="0">K5+1</f>
        <v>44188</v>
      </c>
      <c r="M5" s="10">
        <f t="shared" si="0"/>
        <v>44189</v>
      </c>
      <c r="N5" s="10">
        <f t="shared" si="0"/>
        <v>44190</v>
      </c>
      <c r="O5" s="10">
        <f t="shared" si="0"/>
        <v>44191</v>
      </c>
      <c r="P5" s="12">
        <f t="shared" si="0"/>
        <v>44192</v>
      </c>
      <c r="Q5" s="11">
        <f>P5+1</f>
        <v>44193</v>
      </c>
      <c r="R5" s="10">
        <f>Q5+1</f>
        <v>44194</v>
      </c>
      <c r="S5" s="10">
        <f t="shared" si="0"/>
        <v>44195</v>
      </c>
      <c r="T5" s="10">
        <f t="shared" si="0"/>
        <v>44196</v>
      </c>
      <c r="U5" s="10">
        <f t="shared" si="0"/>
        <v>44197</v>
      </c>
      <c r="V5" s="10">
        <f t="shared" si="0"/>
        <v>44198</v>
      </c>
      <c r="W5" s="12">
        <f t="shared" si="0"/>
        <v>44199</v>
      </c>
      <c r="X5" s="11">
        <f>W5+1</f>
        <v>44200</v>
      </c>
      <c r="Y5" s="10">
        <f>X5+1</f>
        <v>44201</v>
      </c>
      <c r="Z5" s="10">
        <f t="shared" si="0"/>
        <v>44202</v>
      </c>
      <c r="AA5" s="10">
        <f t="shared" si="0"/>
        <v>44203</v>
      </c>
      <c r="AB5" s="10">
        <f t="shared" si="0"/>
        <v>44204</v>
      </c>
      <c r="AC5" s="10">
        <f t="shared" si="0"/>
        <v>44205</v>
      </c>
      <c r="AD5" s="12">
        <f t="shared" si="0"/>
        <v>44206</v>
      </c>
      <c r="AE5" s="11">
        <f>AD5+1</f>
        <v>44207</v>
      </c>
      <c r="AF5" s="10">
        <f>AE5+1</f>
        <v>44208</v>
      </c>
      <c r="AG5" s="10">
        <f t="shared" si="0"/>
        <v>44209</v>
      </c>
      <c r="AH5" s="10">
        <f t="shared" si="0"/>
        <v>44210</v>
      </c>
      <c r="AI5" s="10">
        <f t="shared" si="0"/>
        <v>44211</v>
      </c>
      <c r="AJ5" s="10">
        <f t="shared" si="0"/>
        <v>44212</v>
      </c>
      <c r="AK5" s="12">
        <f t="shared" si="0"/>
        <v>44213</v>
      </c>
      <c r="AL5" s="11">
        <f>AK5+1</f>
        <v>44214</v>
      </c>
      <c r="AM5" s="10">
        <f>AL5+1</f>
        <v>44215</v>
      </c>
      <c r="AN5" s="10">
        <f t="shared" si="0"/>
        <v>44216</v>
      </c>
      <c r="AO5" s="10">
        <f t="shared" si="0"/>
        <v>44217</v>
      </c>
      <c r="AP5" s="10">
        <f t="shared" si="0"/>
        <v>44218</v>
      </c>
      <c r="AQ5" s="10">
        <f t="shared" si="0"/>
        <v>44219</v>
      </c>
      <c r="AR5" s="12">
        <f t="shared" si="0"/>
        <v>44220</v>
      </c>
      <c r="AS5" s="11">
        <f>AR5+1</f>
        <v>44221</v>
      </c>
      <c r="AT5" s="10">
        <f>AS5+1</f>
        <v>44222</v>
      </c>
      <c r="AU5" s="10">
        <f t="shared" si="0"/>
        <v>44223</v>
      </c>
      <c r="AV5" s="10">
        <f t="shared" si="0"/>
        <v>44224</v>
      </c>
      <c r="AW5" s="10">
        <f t="shared" si="0"/>
        <v>44225</v>
      </c>
      <c r="AX5" s="10">
        <f t="shared" si="0"/>
        <v>44226</v>
      </c>
      <c r="AY5" s="12">
        <f t="shared" si="0"/>
        <v>44227</v>
      </c>
      <c r="AZ5" s="11">
        <f>AY5+1</f>
        <v>44228</v>
      </c>
      <c r="BA5" s="10">
        <f>AZ5+1</f>
        <v>44229</v>
      </c>
      <c r="BB5" s="10">
        <f t="shared" ref="BB5:BF5" si="1">BA5+1</f>
        <v>44230</v>
      </c>
      <c r="BC5" s="10">
        <f t="shared" si="1"/>
        <v>44231</v>
      </c>
      <c r="BD5" s="10">
        <f t="shared" si="1"/>
        <v>44232</v>
      </c>
      <c r="BE5" s="10">
        <f t="shared" si="1"/>
        <v>44233</v>
      </c>
      <c r="BF5" s="12">
        <f t="shared" si="1"/>
        <v>44234</v>
      </c>
      <c r="BG5" s="11">
        <f>BF5+1</f>
        <v>44235</v>
      </c>
      <c r="BH5" s="10">
        <f>BG5+1</f>
        <v>44236</v>
      </c>
      <c r="BI5" s="10">
        <f t="shared" ref="BI5:BM5" si="2">BH5+1</f>
        <v>44237</v>
      </c>
      <c r="BJ5" s="10">
        <f t="shared" si="2"/>
        <v>44238</v>
      </c>
      <c r="BK5" s="10">
        <f t="shared" si="2"/>
        <v>44239</v>
      </c>
      <c r="BL5" s="10">
        <f t="shared" si="2"/>
        <v>44240</v>
      </c>
      <c r="BM5" s="12">
        <f t="shared" si="2"/>
        <v>44241</v>
      </c>
    </row>
    <row r="6" spans="1:65" ht="30" customHeight="1" thickBot="1">
      <c r="A6" s="56" t="s">
        <v>12</v>
      </c>
      <c r="B6" s="8" t="s">
        <v>13</v>
      </c>
      <c r="C6" s="9" t="s">
        <v>14</v>
      </c>
      <c r="D6" s="9" t="s">
        <v>97</v>
      </c>
      <c r="E6" s="9" t="s">
        <v>15</v>
      </c>
      <c r="F6" s="9" t="s">
        <v>16</v>
      </c>
      <c r="G6" s="9" t="s">
        <v>17</v>
      </c>
      <c r="H6" s="9"/>
      <c r="I6" s="9" t="s">
        <v>18</v>
      </c>
      <c r="J6" s="13" t="str">
        <f t="shared" ref="J6" si="3">LEFT(TEXT(J5,"ddd"),1)</f>
        <v>d</v>
      </c>
      <c r="K6" s="13" t="str">
        <f t="shared" ref="K6:AS6" si="4">LEFT(TEXT(K5,"ddd"),1)</f>
        <v>d</v>
      </c>
      <c r="L6" s="13" t="str">
        <f t="shared" si="4"/>
        <v>d</v>
      </c>
      <c r="M6" s="13" t="str">
        <f t="shared" si="4"/>
        <v>d</v>
      </c>
      <c r="N6" s="13" t="str">
        <f t="shared" si="4"/>
        <v>d</v>
      </c>
      <c r="O6" s="13" t="str">
        <f t="shared" si="4"/>
        <v>d</v>
      </c>
      <c r="P6" s="13" t="str">
        <f t="shared" si="4"/>
        <v>d</v>
      </c>
      <c r="Q6" s="13" t="str">
        <f t="shared" si="4"/>
        <v>d</v>
      </c>
      <c r="R6" s="13" t="str">
        <f t="shared" si="4"/>
        <v>d</v>
      </c>
      <c r="S6" s="13" t="str">
        <f t="shared" si="4"/>
        <v>d</v>
      </c>
      <c r="T6" s="13" t="str">
        <f t="shared" si="4"/>
        <v>d</v>
      </c>
      <c r="U6" s="13" t="str">
        <f t="shared" si="4"/>
        <v>d</v>
      </c>
      <c r="V6" s="13" t="str">
        <f t="shared" si="4"/>
        <v>d</v>
      </c>
      <c r="W6" s="13" t="str">
        <f t="shared" si="4"/>
        <v>d</v>
      </c>
      <c r="X6" s="13" t="str">
        <f t="shared" si="4"/>
        <v>d</v>
      </c>
      <c r="Y6" s="13" t="str">
        <f t="shared" si="4"/>
        <v>d</v>
      </c>
      <c r="Z6" s="13" t="str">
        <f t="shared" si="4"/>
        <v>d</v>
      </c>
      <c r="AA6" s="13" t="str">
        <f t="shared" si="4"/>
        <v>d</v>
      </c>
      <c r="AB6" s="13" t="str">
        <f t="shared" si="4"/>
        <v>d</v>
      </c>
      <c r="AC6" s="13" t="str">
        <f t="shared" si="4"/>
        <v>d</v>
      </c>
      <c r="AD6" s="13" t="str">
        <f t="shared" si="4"/>
        <v>d</v>
      </c>
      <c r="AE6" s="13" t="str">
        <f t="shared" si="4"/>
        <v>d</v>
      </c>
      <c r="AF6" s="13" t="str">
        <f t="shared" si="4"/>
        <v>d</v>
      </c>
      <c r="AG6" s="13" t="str">
        <f t="shared" si="4"/>
        <v>d</v>
      </c>
      <c r="AH6" s="13" t="str">
        <f t="shared" si="4"/>
        <v>d</v>
      </c>
      <c r="AI6" s="13" t="str">
        <f t="shared" si="4"/>
        <v>d</v>
      </c>
      <c r="AJ6" s="13" t="str">
        <f t="shared" si="4"/>
        <v>d</v>
      </c>
      <c r="AK6" s="13" t="str">
        <f t="shared" si="4"/>
        <v>d</v>
      </c>
      <c r="AL6" s="13" t="str">
        <f t="shared" si="4"/>
        <v>d</v>
      </c>
      <c r="AM6" s="13" t="str">
        <f t="shared" si="4"/>
        <v>d</v>
      </c>
      <c r="AN6" s="13" t="str">
        <f t="shared" si="4"/>
        <v>d</v>
      </c>
      <c r="AO6" s="13" t="str">
        <f t="shared" si="4"/>
        <v>d</v>
      </c>
      <c r="AP6" s="13" t="str">
        <f t="shared" si="4"/>
        <v>d</v>
      </c>
      <c r="AQ6" s="13" t="str">
        <f t="shared" si="4"/>
        <v>d</v>
      </c>
      <c r="AR6" s="13" t="str">
        <f t="shared" si="4"/>
        <v>d</v>
      </c>
      <c r="AS6" s="13" t="str">
        <f t="shared" si="4"/>
        <v>d</v>
      </c>
      <c r="AT6" s="13" t="str">
        <f t="shared" ref="AT6:BM6" si="5">LEFT(TEXT(AT5,"ddd"),1)</f>
        <v>d</v>
      </c>
      <c r="AU6" s="13" t="str">
        <f t="shared" si="5"/>
        <v>d</v>
      </c>
      <c r="AV6" s="13" t="str">
        <f t="shared" si="5"/>
        <v>d</v>
      </c>
      <c r="AW6" s="13" t="str">
        <f t="shared" si="5"/>
        <v>d</v>
      </c>
      <c r="AX6" s="13" t="str">
        <f t="shared" si="5"/>
        <v>d</v>
      </c>
      <c r="AY6" s="13" t="str">
        <f t="shared" si="5"/>
        <v>d</v>
      </c>
      <c r="AZ6" s="13" t="str">
        <f t="shared" si="5"/>
        <v>d</v>
      </c>
      <c r="BA6" s="13" t="str">
        <f t="shared" si="5"/>
        <v>d</v>
      </c>
      <c r="BB6" s="13" t="str">
        <f t="shared" si="5"/>
        <v>d</v>
      </c>
      <c r="BC6" s="13" t="str">
        <f t="shared" si="5"/>
        <v>d</v>
      </c>
      <c r="BD6" s="13" t="str">
        <f t="shared" si="5"/>
        <v>d</v>
      </c>
      <c r="BE6" s="13" t="str">
        <f t="shared" si="5"/>
        <v>d</v>
      </c>
      <c r="BF6" s="13" t="str">
        <f t="shared" si="5"/>
        <v>d</v>
      </c>
      <c r="BG6" s="13" t="str">
        <f t="shared" si="5"/>
        <v>d</v>
      </c>
      <c r="BH6" s="13" t="str">
        <f t="shared" si="5"/>
        <v>d</v>
      </c>
      <c r="BI6" s="13" t="str">
        <f t="shared" si="5"/>
        <v>d</v>
      </c>
      <c r="BJ6" s="13" t="str">
        <f t="shared" si="5"/>
        <v>d</v>
      </c>
      <c r="BK6" s="13" t="str">
        <f t="shared" si="5"/>
        <v>d</v>
      </c>
      <c r="BL6" s="13" t="str">
        <f t="shared" si="5"/>
        <v>d</v>
      </c>
      <c r="BM6" s="13" t="str">
        <f t="shared" si="5"/>
        <v>d</v>
      </c>
    </row>
    <row r="7" spans="1:65" ht="30" hidden="1" customHeight="1" thickBot="1">
      <c r="A7" s="55" t="s">
        <v>19</v>
      </c>
      <c r="C7" s="59"/>
      <c r="D7" s="59"/>
      <c r="F7"/>
      <c r="I7" t="str">
        <f>IF(OR(ISBLANK(task_start),ISBLANK(task_end)),"",task_end-task_start+1)</f>
        <v/>
      </c>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row>
    <row r="8" spans="1:65" s="3" customFormat="1" ht="30" customHeight="1" thickBot="1">
      <c r="A8" s="56" t="s">
        <v>20</v>
      </c>
      <c r="B8" s="17" t="s">
        <v>21</v>
      </c>
      <c r="C8" s="66"/>
      <c r="D8" s="66"/>
      <c r="E8" s="18"/>
      <c r="F8" s="19"/>
      <c r="G8" s="20"/>
      <c r="H8" s="16"/>
      <c r="I8" s="16" t="str">
        <f t="shared" ref="I8:I37" si="6">IF(OR(ISBLANK(task_start),ISBLANK(task_end)),"",task_end-task_start+1)</f>
        <v/>
      </c>
      <c r="J8" s="42"/>
      <c r="K8" s="42"/>
      <c r="L8" s="42"/>
      <c r="M8" s="42"/>
      <c r="N8" s="42"/>
      <c r="O8" s="66"/>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row>
    <row r="9" spans="1:65" s="3" customFormat="1" ht="49.95" hidden="1" customHeight="1" outlineLevel="1" thickBot="1">
      <c r="A9" s="56" t="s">
        <v>22</v>
      </c>
      <c r="B9" s="77" t="s">
        <v>23</v>
      </c>
      <c r="C9" s="67" t="s">
        <v>24</v>
      </c>
      <c r="D9" s="54" t="s">
        <v>68</v>
      </c>
      <c r="E9" s="21">
        <v>1</v>
      </c>
      <c r="F9" s="63">
        <f>Project_Start</f>
        <v>44191</v>
      </c>
      <c r="G9" s="63">
        <v>44191</v>
      </c>
      <c r="H9" s="16"/>
      <c r="I9" s="16">
        <f t="shared" si="6"/>
        <v>1</v>
      </c>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row>
    <row r="10" spans="1:65" s="3" customFormat="1" ht="30" customHeight="1" collapsed="1" thickBot="1">
      <c r="A10" s="56" t="s">
        <v>25</v>
      </c>
      <c r="B10" s="22" t="s">
        <v>26</v>
      </c>
      <c r="C10" s="68"/>
      <c r="D10" s="68"/>
      <c r="E10" s="23"/>
      <c r="F10" s="24"/>
      <c r="G10" s="25"/>
      <c r="H10" s="16"/>
      <c r="I10" s="16" t="str">
        <f t="shared" si="6"/>
        <v/>
      </c>
      <c r="J10" s="42"/>
      <c r="K10" s="42"/>
      <c r="L10" s="42"/>
      <c r="M10" s="42"/>
      <c r="N10" s="42"/>
      <c r="O10" s="68"/>
      <c r="P10" s="68"/>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row>
    <row r="11" spans="1:65" s="3" customFormat="1" ht="101.4" hidden="1" outlineLevel="1" thickBot="1">
      <c r="A11" s="56"/>
      <c r="B11" s="76" t="s">
        <v>27</v>
      </c>
      <c r="C11" s="76" t="s">
        <v>24</v>
      </c>
      <c r="D11" s="54" t="s">
        <v>71</v>
      </c>
      <c r="E11" s="26">
        <v>1</v>
      </c>
      <c r="F11" s="64">
        <v>44191</v>
      </c>
      <c r="G11" s="64">
        <f>F11+1</f>
        <v>44192</v>
      </c>
      <c r="H11" s="16"/>
      <c r="I11" s="16">
        <f t="shared" si="6"/>
        <v>2</v>
      </c>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row>
    <row r="12" spans="1:65" s="3" customFormat="1" ht="30" customHeight="1" collapsed="1" thickBot="1">
      <c r="A12" s="55" t="s">
        <v>28</v>
      </c>
      <c r="B12" s="27" t="s">
        <v>29</v>
      </c>
      <c r="C12" s="69"/>
      <c r="D12" s="69"/>
      <c r="E12" s="28"/>
      <c r="F12" s="29"/>
      <c r="G12" s="30"/>
      <c r="H12" s="16"/>
      <c r="I12" s="16" t="str">
        <f t="shared" si="6"/>
        <v/>
      </c>
      <c r="J12" s="42"/>
      <c r="K12" s="42"/>
      <c r="L12" s="42"/>
      <c r="M12" s="42"/>
      <c r="N12" s="42"/>
      <c r="O12" s="42"/>
      <c r="P12" s="69"/>
      <c r="Q12" s="69"/>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row>
    <row r="13" spans="1:65" s="3" customFormat="1" ht="130.19999999999999" hidden="1" outlineLevel="1" thickBot="1">
      <c r="A13" s="56"/>
      <c r="B13" s="78" t="s">
        <v>30</v>
      </c>
      <c r="C13" s="78" t="s">
        <v>24</v>
      </c>
      <c r="D13" s="54" t="s">
        <v>94</v>
      </c>
      <c r="E13" s="31">
        <v>1</v>
      </c>
      <c r="F13" s="65">
        <f>G11</f>
        <v>44192</v>
      </c>
      <c r="G13" s="65">
        <f>F13+1</f>
        <v>44193</v>
      </c>
      <c r="H13" s="16"/>
      <c r="I13" s="16">
        <f t="shared" si="6"/>
        <v>2</v>
      </c>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row>
    <row r="14" spans="1:65" s="3" customFormat="1" ht="30" customHeight="1" collapsed="1" thickBot="1">
      <c r="A14" s="55"/>
      <c r="B14" s="32" t="s">
        <v>31</v>
      </c>
      <c r="C14" s="70"/>
      <c r="D14" s="70"/>
      <c r="E14" s="33"/>
      <c r="F14" s="34"/>
      <c r="G14" s="35"/>
      <c r="H14" s="16"/>
      <c r="I14" s="16"/>
      <c r="J14" s="42"/>
      <c r="K14" s="42"/>
      <c r="L14" s="42"/>
      <c r="M14" s="42"/>
      <c r="N14" s="42"/>
      <c r="O14" s="42"/>
      <c r="P14" s="70"/>
      <c r="Q14" s="70"/>
      <c r="R14" s="70"/>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row>
    <row r="15" spans="1:65" s="3" customFormat="1" ht="72.599999999999994" hidden="1" customHeight="1" outlineLevel="1" thickBot="1">
      <c r="A15" s="55"/>
      <c r="B15" s="106" t="s">
        <v>32</v>
      </c>
      <c r="C15" s="107" t="s">
        <v>33</v>
      </c>
      <c r="D15" s="118" t="s">
        <v>99</v>
      </c>
      <c r="E15" s="31">
        <v>0.9</v>
      </c>
      <c r="F15" s="105">
        <v>44192</v>
      </c>
      <c r="G15" s="105">
        <v>44192</v>
      </c>
      <c r="H15" s="16"/>
      <c r="I15" s="16">
        <f t="shared" si="6"/>
        <v>1</v>
      </c>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row>
    <row r="16" spans="1:65" s="3" customFormat="1" ht="43.8" hidden="1" outlineLevel="1" thickBot="1">
      <c r="A16" s="55"/>
      <c r="B16" s="106" t="s">
        <v>34</v>
      </c>
      <c r="C16" s="107" t="s">
        <v>35</v>
      </c>
      <c r="D16" s="120"/>
      <c r="E16" s="31">
        <v>0.9</v>
      </c>
      <c r="F16" s="105">
        <v>44192</v>
      </c>
      <c r="G16" s="105">
        <v>44193</v>
      </c>
      <c r="H16" s="16"/>
      <c r="I16" s="16">
        <f t="shared" si="6"/>
        <v>2</v>
      </c>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row>
    <row r="17" spans="1:65" s="3" customFormat="1" ht="58.2" hidden="1" outlineLevel="1" thickBot="1">
      <c r="A17" s="55"/>
      <c r="B17" s="106" t="s">
        <v>36</v>
      </c>
      <c r="C17" s="107" t="s">
        <v>35</v>
      </c>
      <c r="D17" s="120"/>
      <c r="E17" s="31">
        <v>1</v>
      </c>
      <c r="F17" s="105">
        <v>44192</v>
      </c>
      <c r="G17" s="105">
        <v>44193</v>
      </c>
      <c r="H17" s="16"/>
      <c r="I17" s="16">
        <f t="shared" si="6"/>
        <v>2</v>
      </c>
      <c r="J17" s="42"/>
      <c r="K17" s="42"/>
      <c r="L17" s="42"/>
      <c r="M17" s="42"/>
      <c r="N17" s="42"/>
      <c r="O17" s="42"/>
      <c r="P17" s="42"/>
      <c r="Q17" s="42"/>
      <c r="R17" s="42"/>
      <c r="S17" s="42"/>
      <c r="T17" s="42"/>
      <c r="U17" s="42"/>
      <c r="V17" s="42"/>
      <c r="W17" s="42"/>
      <c r="X17" s="42"/>
      <c r="Y17" s="42"/>
      <c r="Z17" s="42" t="s">
        <v>37</v>
      </c>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row>
    <row r="18" spans="1:65" s="3" customFormat="1" ht="101.4" hidden="1" outlineLevel="1" thickBot="1">
      <c r="A18" s="55"/>
      <c r="B18" s="106" t="s">
        <v>98</v>
      </c>
      <c r="C18" s="107" t="s">
        <v>33</v>
      </c>
      <c r="D18" s="119"/>
      <c r="E18" s="31">
        <v>1</v>
      </c>
      <c r="F18" s="105">
        <v>44193</v>
      </c>
      <c r="G18" s="105">
        <v>44194</v>
      </c>
      <c r="H18" s="16"/>
      <c r="I18" s="16">
        <f t="shared" si="6"/>
        <v>2</v>
      </c>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row>
    <row r="19" spans="1:65" s="3" customFormat="1" ht="30" customHeight="1" collapsed="1" thickBot="1">
      <c r="A19" s="55"/>
      <c r="B19" s="17" t="s">
        <v>38</v>
      </c>
      <c r="C19" s="66"/>
      <c r="D19" s="66"/>
      <c r="E19" s="18"/>
      <c r="F19" s="19"/>
      <c r="G19" s="20"/>
      <c r="H19" s="16"/>
      <c r="I19" s="16"/>
      <c r="J19" s="42"/>
      <c r="K19" s="42"/>
      <c r="L19" s="42"/>
      <c r="M19" s="42"/>
      <c r="N19" s="42"/>
      <c r="O19" s="42"/>
      <c r="P19" s="66"/>
      <c r="Q19" s="66"/>
      <c r="R19" s="66"/>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row>
    <row r="20" spans="1:65" s="3" customFormat="1" ht="159" hidden="1" customHeight="1" outlineLevel="1" thickBot="1">
      <c r="A20" s="55"/>
      <c r="B20" s="77" t="s">
        <v>39</v>
      </c>
      <c r="C20" s="67" t="s">
        <v>40</v>
      </c>
      <c r="D20" s="54" t="s">
        <v>100</v>
      </c>
      <c r="E20" s="21">
        <v>0.8</v>
      </c>
      <c r="F20" s="63">
        <v>44192</v>
      </c>
      <c r="G20" s="63">
        <v>44192</v>
      </c>
      <c r="H20" s="16"/>
      <c r="I20" s="16">
        <f t="shared" si="6"/>
        <v>1</v>
      </c>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row>
    <row r="21" spans="1:65" s="3" customFormat="1" ht="43.8" hidden="1" customHeight="1" outlineLevel="1" thickBot="1">
      <c r="A21" s="55"/>
      <c r="B21" s="22" t="s">
        <v>41</v>
      </c>
      <c r="C21" s="68" t="s">
        <v>42</v>
      </c>
      <c r="D21" s="68"/>
      <c r="E21" s="23">
        <v>0.8</v>
      </c>
      <c r="F21" s="24">
        <v>44192</v>
      </c>
      <c r="G21" s="25">
        <v>44193</v>
      </c>
      <c r="H21" s="16"/>
      <c r="I21" s="16">
        <f t="shared" si="6"/>
        <v>2</v>
      </c>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row>
    <row r="22" spans="1:65" s="3" customFormat="1" ht="43.8" hidden="1" customHeight="1" outlineLevel="1" thickBot="1">
      <c r="A22" s="55"/>
      <c r="B22" s="76" t="s">
        <v>43</v>
      </c>
      <c r="C22" s="67" t="s">
        <v>44</v>
      </c>
      <c r="D22" s="54"/>
      <c r="E22" s="26">
        <v>0.8</v>
      </c>
      <c r="F22" s="64">
        <v>44193</v>
      </c>
      <c r="G22" s="64">
        <v>44194</v>
      </c>
      <c r="H22" s="16"/>
      <c r="I22" s="16">
        <f t="shared" si="6"/>
        <v>2</v>
      </c>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row>
    <row r="23" spans="1:65" s="3" customFormat="1" ht="30" customHeight="1" collapsed="1" thickBot="1">
      <c r="A23" s="55"/>
      <c r="B23" s="27" t="s">
        <v>45</v>
      </c>
      <c r="C23" s="69"/>
      <c r="D23" s="69"/>
      <c r="E23" s="28"/>
      <c r="F23" s="29"/>
      <c r="G23" s="30"/>
      <c r="H23" s="16"/>
      <c r="I23" s="16"/>
      <c r="J23" s="42"/>
      <c r="K23" s="42"/>
      <c r="L23" s="42"/>
      <c r="M23" s="42"/>
      <c r="N23" s="42"/>
      <c r="O23" s="42"/>
      <c r="P23" s="42"/>
      <c r="Q23" s="42"/>
      <c r="R23" s="69"/>
      <c r="S23" s="69"/>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row>
    <row r="24" spans="1:65" s="3" customFormat="1" ht="101.4" hidden="1" customHeight="1" outlineLevel="1" thickBot="1">
      <c r="A24" s="55"/>
      <c r="B24" s="79" t="s">
        <v>46</v>
      </c>
      <c r="C24" s="100" t="s">
        <v>33</v>
      </c>
      <c r="D24" s="118" t="s">
        <v>109</v>
      </c>
      <c r="E24" s="31">
        <v>0.8</v>
      </c>
      <c r="F24" s="65">
        <v>44194</v>
      </c>
      <c r="G24" s="65">
        <v>44195</v>
      </c>
      <c r="H24" s="16"/>
      <c r="I24" s="16">
        <f t="shared" si="6"/>
        <v>2</v>
      </c>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row>
    <row r="25" spans="1:65" s="3" customFormat="1" ht="72.599999999999994" hidden="1" outlineLevel="1" thickBot="1">
      <c r="A25" s="55"/>
      <c r="B25" s="79" t="s">
        <v>47</v>
      </c>
      <c r="C25" s="100" t="s">
        <v>33</v>
      </c>
      <c r="D25" s="119"/>
      <c r="E25" s="33">
        <v>0.6</v>
      </c>
      <c r="F25" s="101">
        <v>44194</v>
      </c>
      <c r="G25" s="102">
        <v>44195</v>
      </c>
      <c r="H25" s="16"/>
      <c r="I25" s="16">
        <f t="shared" si="6"/>
        <v>2</v>
      </c>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row>
    <row r="26" spans="1:65" s="3" customFormat="1" ht="30" customHeight="1" collapsed="1" thickBot="1">
      <c r="A26" s="55"/>
      <c r="B26" s="32" t="s">
        <v>48</v>
      </c>
      <c r="C26" s="32"/>
      <c r="D26" s="32"/>
      <c r="E26" s="32"/>
      <c r="F26" s="32"/>
      <c r="G26" s="32"/>
      <c r="H26" s="16"/>
      <c r="I26" s="16"/>
      <c r="J26" s="42"/>
      <c r="K26" s="42"/>
      <c r="L26" s="42"/>
      <c r="M26" s="42"/>
      <c r="N26" s="42"/>
      <c r="O26" s="42"/>
      <c r="P26" s="42"/>
      <c r="Q26" s="42"/>
      <c r="R26" s="42"/>
      <c r="S26" s="32"/>
      <c r="T26" s="3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row>
    <row r="27" spans="1:65" s="3" customFormat="1" ht="43.8" hidden="1" customHeight="1" outlineLevel="1" thickBot="1">
      <c r="A27" s="55"/>
      <c r="B27" s="103" t="s">
        <v>49</v>
      </c>
      <c r="C27" s="104" t="s">
        <v>35</v>
      </c>
      <c r="D27" s="54" t="s">
        <v>107</v>
      </c>
      <c r="E27" s="21">
        <v>0.9</v>
      </c>
      <c r="F27" s="105">
        <v>44195</v>
      </c>
      <c r="G27" s="105">
        <v>44196</v>
      </c>
      <c r="H27" s="16"/>
      <c r="I27" s="16">
        <f t="shared" si="6"/>
        <v>2</v>
      </c>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row>
    <row r="28" spans="1:65" s="3" customFormat="1" ht="30" customHeight="1" collapsed="1" thickBot="1">
      <c r="A28" s="55"/>
      <c r="B28" s="17" t="s">
        <v>50</v>
      </c>
      <c r="C28" s="66"/>
      <c r="D28" s="66"/>
      <c r="E28" s="18"/>
      <c r="F28" s="19"/>
      <c r="G28" s="20"/>
      <c r="H28" s="16"/>
      <c r="I28" s="16"/>
      <c r="J28" s="42"/>
      <c r="K28" s="42"/>
      <c r="L28" s="42"/>
      <c r="M28" s="42"/>
      <c r="N28" s="42"/>
      <c r="O28" s="42"/>
      <c r="P28" s="42"/>
      <c r="Q28" s="42"/>
      <c r="R28" s="42"/>
      <c r="S28" s="42"/>
      <c r="T28" s="17"/>
      <c r="U28" s="66"/>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row>
    <row r="29" spans="1:65" s="3" customFormat="1" ht="43.8" hidden="1" customHeight="1" outlineLevel="1" thickBot="1">
      <c r="A29" s="55"/>
      <c r="B29" s="108" t="s">
        <v>51</v>
      </c>
      <c r="C29" s="80" t="s">
        <v>35</v>
      </c>
      <c r="D29" s="117" t="s">
        <v>108</v>
      </c>
      <c r="E29" s="31">
        <v>0.9</v>
      </c>
      <c r="F29" s="109">
        <v>44196</v>
      </c>
      <c r="G29" s="109">
        <v>44196</v>
      </c>
      <c r="H29" s="16"/>
      <c r="I29" s="16">
        <f t="shared" si="6"/>
        <v>1</v>
      </c>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row>
    <row r="30" spans="1:65" s="3" customFormat="1" ht="43.8" hidden="1" customHeight="1" outlineLevel="1" thickBot="1">
      <c r="A30" s="55"/>
      <c r="B30" s="108" t="s">
        <v>52</v>
      </c>
      <c r="C30" s="80" t="s">
        <v>33</v>
      </c>
      <c r="D30" s="110"/>
      <c r="E30" s="31">
        <v>0</v>
      </c>
      <c r="F30" s="109">
        <v>44197</v>
      </c>
      <c r="G30" s="109">
        <v>44197</v>
      </c>
      <c r="H30" s="16"/>
      <c r="I30" s="16">
        <f t="shared" si="6"/>
        <v>1</v>
      </c>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row>
    <row r="31" spans="1:65" s="3" customFormat="1" ht="30" customHeight="1" collapsed="1" thickBot="1">
      <c r="A31" s="55"/>
      <c r="B31" s="22" t="s">
        <v>53</v>
      </c>
      <c r="C31" s="68"/>
      <c r="D31" s="68"/>
      <c r="E31" s="23"/>
      <c r="F31" s="24"/>
      <c r="G31" s="25"/>
      <c r="H31" s="16"/>
      <c r="I31" s="16"/>
      <c r="J31" s="42"/>
      <c r="K31" s="42"/>
      <c r="L31" s="42"/>
      <c r="M31" s="42"/>
      <c r="N31" s="42"/>
      <c r="O31" s="42"/>
      <c r="P31" s="42"/>
      <c r="Q31" s="42"/>
      <c r="R31" s="42"/>
      <c r="S31" s="42"/>
      <c r="T31" s="42"/>
      <c r="U31" s="22"/>
      <c r="V31" s="68"/>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row>
    <row r="32" spans="1:65" s="3" customFormat="1" ht="43.8" hidden="1" customHeight="1" outlineLevel="1" thickBot="1">
      <c r="A32" s="55"/>
      <c r="B32" s="111" t="s">
        <v>54</v>
      </c>
      <c r="C32" s="112" t="s">
        <v>33</v>
      </c>
      <c r="D32" s="110"/>
      <c r="E32" s="26"/>
      <c r="F32" s="64">
        <v>44197</v>
      </c>
      <c r="G32" s="64">
        <v>44198</v>
      </c>
      <c r="H32" s="16"/>
      <c r="I32" s="16">
        <f t="shared" si="6"/>
        <v>2</v>
      </c>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row>
    <row r="33" spans="1:65" s="3" customFormat="1" ht="43.8" hidden="1" customHeight="1" outlineLevel="1" thickBot="1">
      <c r="A33" s="55"/>
      <c r="B33" s="113" t="s">
        <v>55</v>
      </c>
      <c r="C33" s="112" t="s">
        <v>33</v>
      </c>
      <c r="D33" s="110"/>
      <c r="E33" s="26"/>
      <c r="F33" s="64">
        <v>44198</v>
      </c>
      <c r="G33" s="64">
        <v>44199</v>
      </c>
      <c r="H33" s="16"/>
      <c r="I33" s="16"/>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c r="BM33" s="42"/>
    </row>
    <row r="34" spans="1:65" s="3" customFormat="1" ht="30" customHeight="1" collapsed="1" thickBot="1">
      <c r="A34" s="55"/>
      <c r="B34" s="27" t="s">
        <v>56</v>
      </c>
      <c r="C34" s="69"/>
      <c r="D34" s="69"/>
      <c r="E34" s="28"/>
      <c r="F34" s="29"/>
      <c r="G34" s="30"/>
      <c r="H34" s="16"/>
      <c r="I34" s="16"/>
      <c r="J34" s="42"/>
      <c r="K34" s="42"/>
      <c r="L34" s="42"/>
      <c r="M34" s="42"/>
      <c r="N34" s="42"/>
      <c r="O34" s="42"/>
      <c r="P34" s="42"/>
      <c r="Q34" s="42"/>
      <c r="R34" s="42"/>
      <c r="S34" s="42"/>
      <c r="T34" s="42"/>
      <c r="U34" s="42"/>
      <c r="V34" s="42"/>
      <c r="W34" s="69"/>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c r="BM34" s="42"/>
    </row>
    <row r="35" spans="1:65" s="3" customFormat="1" ht="72.599999999999994" hidden="1" outlineLevel="1" thickBot="1">
      <c r="A35" s="55" t="s">
        <v>57</v>
      </c>
      <c r="B35" s="114" t="s">
        <v>58</v>
      </c>
      <c r="C35" s="115" t="s">
        <v>33</v>
      </c>
      <c r="D35" s="110"/>
      <c r="E35" s="31"/>
      <c r="F35" s="65">
        <v>44199</v>
      </c>
      <c r="G35" s="65">
        <v>44199</v>
      </c>
      <c r="H35" s="16"/>
      <c r="I35" s="16">
        <f t="shared" si="6"/>
        <v>1</v>
      </c>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row>
    <row r="36" spans="1:65" s="3" customFormat="1" ht="130.19999999999999" hidden="1" outlineLevel="1" thickBot="1">
      <c r="A36" s="55"/>
      <c r="B36" s="116" t="s">
        <v>59</v>
      </c>
      <c r="C36" s="115" t="s">
        <v>33</v>
      </c>
      <c r="D36" s="110"/>
      <c r="E36" s="31"/>
      <c r="F36" s="65">
        <v>44199</v>
      </c>
      <c r="G36" s="65">
        <v>44199</v>
      </c>
      <c r="H36" s="16"/>
      <c r="I36" s="16">
        <f t="shared" si="6"/>
        <v>1</v>
      </c>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row>
    <row r="37" spans="1:65" s="3" customFormat="1" ht="30" customHeight="1" collapsed="1" thickBot="1">
      <c r="A37" s="56" t="s">
        <v>60</v>
      </c>
      <c r="B37" s="36" t="s">
        <v>61</v>
      </c>
      <c r="C37" s="37"/>
      <c r="D37" s="37"/>
      <c r="E37" s="38"/>
      <c r="F37" s="39"/>
      <c r="G37" s="40"/>
      <c r="H37" s="41"/>
      <c r="I37" s="41" t="str">
        <f t="shared" si="6"/>
        <v/>
      </c>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3"/>
      <c r="BK37" s="43"/>
      <c r="BL37" s="43"/>
      <c r="BM37" s="43"/>
    </row>
    <row r="38" spans="1:65" ht="30" hidden="1" customHeight="1">
      <c r="H38" s="6"/>
    </row>
    <row r="39" spans="1:65" ht="30" hidden="1" customHeight="1">
      <c r="C39" s="14"/>
      <c r="D39" s="14"/>
      <c r="G39" s="57"/>
    </row>
    <row r="40" spans="1:65" ht="30" hidden="1" customHeight="1">
      <c r="C40" s="15"/>
      <c r="D40" s="15"/>
    </row>
    <row r="41" spans="1:65" ht="30" hidden="1" customHeight="1"/>
  </sheetData>
  <mergeCells count="14">
    <mergeCell ref="D24:D25"/>
    <mergeCell ref="D15:D18"/>
    <mergeCell ref="AZ4:BF4"/>
    <mergeCell ref="BG4:BM4"/>
    <mergeCell ref="C3:E3"/>
    <mergeCell ref="C4:E4"/>
    <mergeCell ref="B5:H5"/>
    <mergeCell ref="AL4:AR4"/>
    <mergeCell ref="AS4:AY4"/>
    <mergeCell ref="F3:G3"/>
    <mergeCell ref="J4:P4"/>
    <mergeCell ref="Q4:W4"/>
    <mergeCell ref="X4:AD4"/>
    <mergeCell ref="AE4:AK4"/>
  </mergeCells>
  <conditionalFormatting sqref="E7:E18 E29:E30 E32:E33 E35:E37">
    <cfRule type="colorScale" priority="59">
      <colorScale>
        <cfvo type="min"/>
        <cfvo type="percentile" val="50"/>
        <cfvo type="max"/>
        <color theme="5"/>
        <color rgb="FFFFEB84"/>
        <color rgb="FF00B050"/>
      </colorScale>
    </cfRule>
  </conditionalFormatting>
  <conditionalFormatting sqref="J5:BM7 J35:BM37 J9:BM9 J8:N8 P8:BM8 J11:BM11 J10:N10 Q10:BM10 J13:BM13 J12:O12 R12:BM12 J14:O14 S14:BM14">
    <cfRule type="expression" dxfId="53" priority="119">
      <formula>AND(TODAY()&gt;=J$5,TODAY()&lt;K$5)</formula>
    </cfRule>
  </conditionalFormatting>
  <conditionalFormatting sqref="J7:BM7 J35:BM37 J9:BM9 J8:N8 P8:BM8 J11:BM11 J10:N10 Q10:BM10 J13:BM13 J12:O12 R12:BM12 J14:O14 S14:BM14">
    <cfRule type="expression" dxfId="52" priority="113">
      <formula>AND(task_start&lt;=J$5,ROUNDDOWN((task_end-task_start+1)*task_progress,0)+task_start-1&gt;=J$5)</formula>
    </cfRule>
    <cfRule type="expression" dxfId="51" priority="114" stopIfTrue="1">
      <formula>AND(task_end&gt;=J$5,task_start&lt;K$5)</formula>
    </cfRule>
  </conditionalFormatting>
  <conditionalFormatting sqref="J19:O19 S19:BM19">
    <cfRule type="expression" dxfId="50" priority="86">
      <formula>AND(TODAY()&gt;=J$5,TODAY()&lt;K$5)</formula>
    </cfRule>
  </conditionalFormatting>
  <conditionalFormatting sqref="J19:O19 S19:BM19">
    <cfRule type="expression" dxfId="49" priority="84">
      <formula>AND(task_start&lt;=J$5,ROUNDDOWN((task_end-task_start+1)*task_progress,0)+task_start-1&gt;=J$5)</formula>
    </cfRule>
    <cfRule type="expression" dxfId="48" priority="85" stopIfTrue="1">
      <formula>AND(task_end&gt;=J$5,task_start&lt;K$5)</formula>
    </cfRule>
  </conditionalFormatting>
  <conditionalFormatting sqref="J23:Q23 T23:BM23">
    <cfRule type="expression" dxfId="47" priority="82">
      <formula>AND(TODAY()&gt;=J$5,TODAY()&lt;K$5)</formula>
    </cfRule>
  </conditionalFormatting>
  <conditionalFormatting sqref="J23:Q23 T23:BM23">
    <cfRule type="expression" dxfId="46" priority="80">
      <formula>AND(task_start&lt;=J$5,ROUNDDOWN((task_end-task_start+1)*task_progress,0)+task_start-1&gt;=J$5)</formula>
    </cfRule>
    <cfRule type="expression" dxfId="45" priority="81" stopIfTrue="1">
      <formula>AND(task_end&gt;=J$5,task_start&lt;K$5)</formula>
    </cfRule>
  </conditionalFormatting>
  <conditionalFormatting sqref="J26:R26 U26:BM26">
    <cfRule type="expression" dxfId="44" priority="78">
      <formula>AND(TODAY()&gt;=J$5,TODAY()&lt;K$5)</formula>
    </cfRule>
  </conditionalFormatting>
  <conditionalFormatting sqref="J26:R26 U26:BM26">
    <cfRule type="expression" dxfId="43" priority="76">
      <formula>AND(task_start&lt;=J$5,ROUNDDOWN((task_end-task_start+1)*task_progress,0)+task_start-1&gt;=J$5)</formula>
    </cfRule>
    <cfRule type="expression" dxfId="42" priority="77" stopIfTrue="1">
      <formula>AND(task_end&gt;=J$5,task_start&lt;K$5)</formula>
    </cfRule>
  </conditionalFormatting>
  <conditionalFormatting sqref="J28:S28 V28:BM28">
    <cfRule type="expression" dxfId="41" priority="74">
      <formula>AND(TODAY()&gt;=J$5,TODAY()&lt;K$5)</formula>
    </cfRule>
  </conditionalFormatting>
  <conditionalFormatting sqref="J28:S28 V28:BM28">
    <cfRule type="expression" dxfId="40" priority="72">
      <formula>AND(task_start&lt;=J$5,ROUNDDOWN((task_end-task_start+1)*task_progress,0)+task_start-1&gt;=J$5)</formula>
    </cfRule>
    <cfRule type="expression" dxfId="39" priority="73" stopIfTrue="1">
      <formula>AND(task_end&gt;=J$5,task_start&lt;K$5)</formula>
    </cfRule>
  </conditionalFormatting>
  <conditionalFormatting sqref="J31:T31 W31:BM31">
    <cfRule type="expression" dxfId="38" priority="70">
      <formula>AND(TODAY()&gt;=J$5,TODAY()&lt;K$5)</formula>
    </cfRule>
  </conditionalFormatting>
  <conditionalFormatting sqref="J31:T31 W31:BM31">
    <cfRule type="expression" dxfId="37" priority="68">
      <formula>AND(task_start&lt;=J$5,ROUNDDOWN((task_end-task_start+1)*task_progress,0)+task_start-1&gt;=J$5)</formula>
    </cfRule>
    <cfRule type="expression" dxfId="36" priority="69" stopIfTrue="1">
      <formula>AND(task_end&gt;=J$5,task_start&lt;K$5)</formula>
    </cfRule>
  </conditionalFormatting>
  <conditionalFormatting sqref="J34:V34 X34:BM34">
    <cfRule type="expression" dxfId="35" priority="66">
      <formula>AND(TODAY()&gt;=J$5,TODAY()&lt;K$5)</formula>
    </cfRule>
  </conditionalFormatting>
  <conditionalFormatting sqref="J34:V34 X34:BM34">
    <cfRule type="expression" dxfId="34" priority="64">
      <formula>AND(task_start&lt;=J$5,ROUNDDOWN((task_end-task_start+1)*task_progress,0)+task_start-1&gt;=J$5)</formula>
    </cfRule>
    <cfRule type="expression" dxfId="33" priority="65" stopIfTrue="1">
      <formula>AND(task_end&gt;=J$5,task_start&lt;K$5)</formula>
    </cfRule>
  </conditionalFormatting>
  <conditionalFormatting sqref="J15:BM18">
    <cfRule type="expression" dxfId="32" priority="62">
      <formula>AND(TODAY()&gt;=J$5,TODAY()&lt;K$5)</formula>
    </cfRule>
  </conditionalFormatting>
  <conditionalFormatting sqref="J15:BM18">
    <cfRule type="expression" dxfId="31" priority="60">
      <formula>AND(task_start&lt;=J$5,ROUNDDOWN((task_end-task_start+1)*task_progress,0)+task_start-1&gt;=J$5)</formula>
    </cfRule>
    <cfRule type="expression" dxfId="30" priority="61" stopIfTrue="1">
      <formula>AND(task_end&gt;=J$5,task_start&lt;K$5)</formula>
    </cfRule>
  </conditionalFormatting>
  <conditionalFormatting sqref="J20:BM20">
    <cfRule type="expression" dxfId="29" priority="58">
      <formula>AND(TODAY()&gt;=J$5,TODAY()&lt;K$5)</formula>
    </cfRule>
  </conditionalFormatting>
  <conditionalFormatting sqref="J20:BM20">
    <cfRule type="expression" dxfId="28" priority="56">
      <formula>AND(task_start&lt;=J$5,ROUNDDOWN((task_end-task_start+1)*task_progress,0)+task_start-1&gt;=J$5)</formula>
    </cfRule>
    <cfRule type="expression" dxfId="27" priority="57" stopIfTrue="1">
      <formula>AND(task_end&gt;=J$5,task_start&lt;K$5)</formula>
    </cfRule>
  </conditionalFormatting>
  <conditionalFormatting sqref="J21:BM21">
    <cfRule type="expression" dxfId="26" priority="54">
      <formula>AND(TODAY()&gt;=J$5,TODAY()&lt;K$5)</formula>
    </cfRule>
  </conditionalFormatting>
  <conditionalFormatting sqref="J21:BM21">
    <cfRule type="expression" dxfId="25" priority="52">
      <formula>AND(task_start&lt;=J$5,ROUNDDOWN((task_end-task_start+1)*task_progress,0)+task_start-1&gt;=J$5)</formula>
    </cfRule>
    <cfRule type="expression" dxfId="24" priority="53" stopIfTrue="1">
      <formula>AND(task_end&gt;=J$5,task_start&lt;K$5)</formula>
    </cfRule>
  </conditionalFormatting>
  <conditionalFormatting sqref="J22:BM22">
    <cfRule type="expression" dxfId="23" priority="50">
      <formula>AND(TODAY()&gt;=J$5,TODAY()&lt;K$5)</formula>
    </cfRule>
  </conditionalFormatting>
  <conditionalFormatting sqref="J22:BM22">
    <cfRule type="expression" dxfId="22" priority="48">
      <formula>AND(task_start&lt;=J$5,ROUNDDOWN((task_end-task_start+1)*task_progress,0)+task_start-1&gt;=J$5)</formula>
    </cfRule>
    <cfRule type="expression" dxfId="21" priority="49" stopIfTrue="1">
      <formula>AND(task_end&gt;=J$5,task_start&lt;K$5)</formula>
    </cfRule>
  </conditionalFormatting>
  <conditionalFormatting sqref="J24:BM24">
    <cfRule type="expression" dxfId="20" priority="46">
      <formula>AND(TODAY()&gt;=J$5,TODAY()&lt;K$5)</formula>
    </cfRule>
  </conditionalFormatting>
  <conditionalFormatting sqref="J24:BM24">
    <cfRule type="expression" dxfId="19" priority="44">
      <formula>AND(task_start&lt;=J$5,ROUNDDOWN((task_end-task_start+1)*task_progress,0)+task_start-1&gt;=J$5)</formula>
    </cfRule>
    <cfRule type="expression" dxfId="18" priority="45" stopIfTrue="1">
      <formula>AND(task_end&gt;=J$5,task_start&lt;K$5)</formula>
    </cfRule>
  </conditionalFormatting>
  <conditionalFormatting sqref="J25:BM25">
    <cfRule type="expression" dxfId="17" priority="38">
      <formula>AND(TODAY()&gt;=J$5,TODAY()&lt;K$5)</formula>
    </cfRule>
  </conditionalFormatting>
  <conditionalFormatting sqref="J25:BM25">
    <cfRule type="expression" dxfId="16" priority="36">
      <formula>AND(task_start&lt;=J$5,ROUNDDOWN((task_end-task_start+1)*task_progress,0)+task_start-1&gt;=J$5)</formula>
    </cfRule>
    <cfRule type="expression" dxfId="15" priority="37" stopIfTrue="1">
      <formula>AND(task_end&gt;=J$5,task_start&lt;K$5)</formula>
    </cfRule>
  </conditionalFormatting>
  <conditionalFormatting sqref="E29">
    <cfRule type="dataBar" priority="27">
      <dataBar>
        <cfvo type="num" val="0"/>
        <cfvo type="num" val="1"/>
        <color theme="0" tint="-0.249977111117893"/>
      </dataBar>
      <extLst>
        <ext xmlns:x14="http://schemas.microsoft.com/office/spreadsheetml/2009/9/main" uri="{B025F937-C7B1-47D3-B67F-A62EFF666E3E}">
          <x14:id>{9CA4FDEF-1301-48A5-8B1E-E2ED55013971}</x14:id>
        </ext>
      </extLst>
    </cfRule>
  </conditionalFormatting>
  <conditionalFormatting sqref="J29:BM29">
    <cfRule type="expression" dxfId="14" priority="30">
      <formula>AND(TODAY()&gt;=J$5,TODAY()&lt;K$5)</formula>
    </cfRule>
  </conditionalFormatting>
  <conditionalFormatting sqref="J29:BM29">
    <cfRule type="expression" dxfId="13" priority="28">
      <formula>AND(task_start&lt;=J$5,ROUNDDOWN((task_end-task_start+1)*task_progress,0)+task_start-1&gt;=J$5)</formula>
    </cfRule>
    <cfRule type="expression" dxfId="12" priority="29" stopIfTrue="1">
      <formula>AND(task_end&gt;=J$5,task_start&lt;K$5)</formula>
    </cfRule>
  </conditionalFormatting>
  <conditionalFormatting sqref="J27:BM27">
    <cfRule type="expression" dxfId="11" priority="34">
      <formula>AND(TODAY()&gt;=J$5,TODAY()&lt;K$5)</formula>
    </cfRule>
  </conditionalFormatting>
  <conditionalFormatting sqref="J27:BM27">
    <cfRule type="expression" dxfId="10" priority="32">
      <formula>AND(task_start&lt;=J$5,ROUNDDOWN((task_end-task_start+1)*task_progress,0)+task_start-1&gt;=J$5)</formula>
    </cfRule>
    <cfRule type="expression" dxfId="9" priority="33" stopIfTrue="1">
      <formula>AND(task_end&gt;=J$5,task_start&lt;K$5)</formula>
    </cfRule>
  </conditionalFormatting>
  <conditionalFormatting sqref="E30">
    <cfRule type="dataBar" priority="23">
      <dataBar>
        <cfvo type="num" val="0"/>
        <cfvo type="num" val="1"/>
        <color theme="0" tint="-0.249977111117893"/>
      </dataBar>
      <extLst>
        <ext xmlns:x14="http://schemas.microsoft.com/office/spreadsheetml/2009/9/main" uri="{B025F937-C7B1-47D3-B67F-A62EFF666E3E}">
          <x14:id>{EC3FE537-4613-4015-90C2-16246F278018}</x14:id>
        </ext>
      </extLst>
    </cfRule>
  </conditionalFormatting>
  <conditionalFormatting sqref="J30:BM30">
    <cfRule type="expression" dxfId="8" priority="26">
      <formula>AND(TODAY()&gt;=J$5,TODAY()&lt;K$5)</formula>
    </cfRule>
  </conditionalFormatting>
  <conditionalFormatting sqref="J30:BM30">
    <cfRule type="expression" dxfId="7" priority="24">
      <formula>AND(task_start&lt;=J$5,ROUNDDOWN((task_end-task_start+1)*task_progress,0)+task_start-1&gt;=J$5)</formula>
    </cfRule>
    <cfRule type="expression" dxfId="6" priority="25" stopIfTrue="1">
      <formula>AND(task_end&gt;=J$5,task_start&lt;K$5)</formula>
    </cfRule>
  </conditionalFormatting>
  <conditionalFormatting sqref="J32:BM33">
    <cfRule type="expression" dxfId="5" priority="18">
      <formula>AND(TODAY()&gt;=J$5,TODAY()&lt;K$5)</formula>
    </cfRule>
  </conditionalFormatting>
  <conditionalFormatting sqref="J32:BM33">
    <cfRule type="expression" dxfId="4" priority="16">
      <formula>AND(task_start&lt;=J$5,ROUNDDOWN((task_end-task_start+1)*task_progress,0)+task_start-1&gt;=J$5)</formula>
    </cfRule>
    <cfRule type="expression" dxfId="3" priority="17" stopIfTrue="1">
      <formula>AND(task_end&gt;=J$5,task_start&lt;K$5)</formula>
    </cfRule>
  </conditionalFormatting>
  <conditionalFormatting sqref="E32:E33">
    <cfRule type="dataBar" priority="10">
      <dataBar>
        <cfvo type="num" val="0"/>
        <cfvo type="num" val="1"/>
        <color theme="0" tint="-0.249977111117893"/>
      </dataBar>
      <extLst>
        <ext xmlns:x14="http://schemas.microsoft.com/office/spreadsheetml/2009/9/main" uri="{B025F937-C7B1-47D3-B67F-A62EFF666E3E}">
          <x14:id>{D34AD189-B46F-4FF9-BC93-AADFC0D5BBDE}</x14:id>
        </ext>
      </extLst>
    </cfRule>
  </conditionalFormatting>
  <conditionalFormatting sqref="E35">
    <cfRule type="dataBar" priority="8">
      <dataBar>
        <cfvo type="num" val="0"/>
        <cfvo type="num" val="1"/>
        <color theme="0" tint="-0.249977111117893"/>
      </dataBar>
      <extLst>
        <ext xmlns:x14="http://schemas.microsoft.com/office/spreadsheetml/2009/9/main" uri="{B025F937-C7B1-47D3-B67F-A62EFF666E3E}">
          <x14:id>{D7861CC6-33B5-4953-B4C1-3CF683042FAD}</x14:id>
        </ext>
      </extLst>
    </cfRule>
  </conditionalFormatting>
  <conditionalFormatting sqref="E36">
    <cfRule type="dataBar" priority="7">
      <dataBar>
        <cfvo type="num" val="0"/>
        <cfvo type="num" val="1"/>
        <color theme="0" tint="-0.249977111117893"/>
      </dataBar>
      <extLst>
        <ext xmlns:x14="http://schemas.microsoft.com/office/spreadsheetml/2009/9/main" uri="{B025F937-C7B1-47D3-B67F-A62EFF666E3E}">
          <x14:id>{06B25E93-5826-471E-A418-C74DADE19E5C}</x14:id>
        </ext>
      </extLst>
    </cfRule>
  </conditionalFormatting>
  <conditionalFormatting sqref="P13:Q13">
    <cfRule type="expression" dxfId="2" priority="6">
      <formula>AND(task_end&gt;TODAY(),task_progress &lt;90)</formula>
    </cfRule>
  </conditionalFormatting>
  <conditionalFormatting sqref="E19:E25 E27">
    <cfRule type="colorScale" priority="4">
      <colorScale>
        <cfvo type="min"/>
        <cfvo type="percentile" val="50"/>
        <cfvo type="max"/>
        <color theme="5"/>
        <color rgb="FFFFEB84"/>
        <color rgb="FF00B050"/>
      </colorScale>
    </cfRule>
  </conditionalFormatting>
  <conditionalFormatting sqref="E28">
    <cfRule type="colorScale" priority="3">
      <colorScale>
        <cfvo type="min"/>
        <cfvo type="percentile" val="50"/>
        <cfvo type="max"/>
        <color theme="5"/>
        <color rgb="FFFFEB84"/>
        <color rgb="FF00B050"/>
      </colorScale>
    </cfRule>
  </conditionalFormatting>
  <conditionalFormatting sqref="E31">
    <cfRule type="colorScale" priority="2">
      <colorScale>
        <cfvo type="min"/>
        <cfvo type="percentile" val="50"/>
        <cfvo type="max"/>
        <color theme="5"/>
        <color rgb="FFFFEB84"/>
        <color rgb="FF00B050"/>
      </colorScale>
    </cfRule>
  </conditionalFormatting>
  <conditionalFormatting sqref="E34">
    <cfRule type="colorScale" priority="1">
      <colorScale>
        <cfvo type="min"/>
        <cfvo type="percentile" val="50"/>
        <cfvo type="max"/>
        <color theme="5"/>
        <color rgb="FFFFEB84"/>
        <color rgb="FF00B050"/>
      </colorScale>
    </cfRule>
  </conditionalFormatting>
  <dataValidations count="1">
    <dataValidation type="whole" operator="greaterThanOrEqual" allowBlank="1" showInputMessage="1" promptTitle="Display Week" prompt="Changing this number will scroll the Gantt Chart view." sqref="F4" xr:uid="{00000000-0002-0000-0000-000000000000}">
      <formula1>1</formula1>
    </dataValidation>
  </dataValidations>
  <hyperlinks>
    <hyperlink ref="J1" r:id="rId1" xr:uid="{00000000-0004-0000-0000-000001000000}"/>
    <hyperlink ref="J2" r:id="rId2" xr:uid="{00000000-0004-0000-0000-000000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9CA4FDEF-1301-48A5-8B1E-E2ED55013971}">
            <x14:dataBar minLength="0" maxLength="100" gradient="0">
              <x14:cfvo type="num">
                <xm:f>0</xm:f>
              </x14:cfvo>
              <x14:cfvo type="num">
                <xm:f>1</xm:f>
              </x14:cfvo>
              <x14:negativeFillColor rgb="FFFF0000"/>
              <x14:axisColor rgb="FF000000"/>
            </x14:dataBar>
          </x14:cfRule>
          <xm:sqref>E29</xm:sqref>
        </x14:conditionalFormatting>
        <x14:conditionalFormatting xmlns:xm="http://schemas.microsoft.com/office/excel/2006/main">
          <x14:cfRule type="dataBar" id="{EC3FE537-4613-4015-90C2-16246F278018}">
            <x14:dataBar minLength="0" maxLength="100" gradient="0">
              <x14:cfvo type="num">
                <xm:f>0</xm:f>
              </x14:cfvo>
              <x14:cfvo type="num">
                <xm:f>1</xm:f>
              </x14:cfvo>
              <x14:negativeFillColor rgb="FFFF0000"/>
              <x14:axisColor rgb="FF000000"/>
            </x14:dataBar>
          </x14:cfRule>
          <xm:sqref>E30</xm:sqref>
        </x14:conditionalFormatting>
        <x14:conditionalFormatting xmlns:xm="http://schemas.microsoft.com/office/excel/2006/main">
          <x14:cfRule type="dataBar" id="{D34AD189-B46F-4FF9-BC93-AADFC0D5BBDE}">
            <x14:dataBar minLength="0" maxLength="100" gradient="0">
              <x14:cfvo type="num">
                <xm:f>0</xm:f>
              </x14:cfvo>
              <x14:cfvo type="num">
                <xm:f>1</xm:f>
              </x14:cfvo>
              <x14:negativeFillColor rgb="FFFF0000"/>
              <x14:axisColor rgb="FF000000"/>
            </x14:dataBar>
          </x14:cfRule>
          <xm:sqref>E32:E33</xm:sqref>
        </x14:conditionalFormatting>
        <x14:conditionalFormatting xmlns:xm="http://schemas.microsoft.com/office/excel/2006/main">
          <x14:cfRule type="dataBar" id="{D7861CC6-33B5-4953-B4C1-3CF683042FAD}">
            <x14:dataBar minLength="0" maxLength="100" gradient="0">
              <x14:cfvo type="num">
                <xm:f>0</xm:f>
              </x14:cfvo>
              <x14:cfvo type="num">
                <xm:f>1</xm:f>
              </x14:cfvo>
              <x14:negativeFillColor rgb="FFFF0000"/>
              <x14:axisColor rgb="FF000000"/>
            </x14:dataBar>
          </x14:cfRule>
          <xm:sqref>E35</xm:sqref>
        </x14:conditionalFormatting>
        <x14:conditionalFormatting xmlns:xm="http://schemas.microsoft.com/office/excel/2006/main">
          <x14:cfRule type="dataBar" id="{06B25E93-5826-471E-A418-C74DADE19E5C}">
            <x14:dataBar minLength="0" maxLength="100" gradient="0">
              <x14:cfvo type="num">
                <xm:f>0</xm:f>
              </x14:cfvo>
              <x14:cfvo type="num">
                <xm:f>1</xm:f>
              </x14:cfvo>
              <x14:negativeFillColor rgb="FFFF0000"/>
              <x14:axisColor rgb="FF000000"/>
            </x14:dataBar>
          </x14:cfRule>
          <xm:sqref>E36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B0C5-75BF-49F5-9204-61212E7F58AD}">
  <sheetPr codeName="Sheet4">
    <tabColor rgb="FF7030A0"/>
  </sheetPr>
  <dimension ref="A1:G31"/>
  <sheetViews>
    <sheetView showGridLines="0" tabSelected="1" topLeftCell="C1" zoomScale="85" zoomScaleNormal="85" workbookViewId="0">
      <selection activeCell="T6" sqref="T6"/>
    </sheetView>
  </sheetViews>
  <sheetFormatPr defaultColWidth="9.109375" defaultRowHeight="14.4"/>
  <cols>
    <col min="1" max="1" width="13.44140625" customWidth="1"/>
    <col min="2" max="2" width="54.5546875" bestFit="1" customWidth="1"/>
    <col min="3" max="3" width="12.6640625" customWidth="1"/>
    <col min="4" max="4" width="16.77734375" customWidth="1"/>
    <col min="5" max="5" width="26" customWidth="1"/>
    <col min="6" max="6" width="3.109375" customWidth="1"/>
    <col min="7" max="7" width="14.5546875" customWidth="1"/>
    <col min="8" max="8" width="31.6640625" customWidth="1"/>
    <col min="9" max="9" width="14" customWidth="1"/>
    <col min="10" max="10" width="6" customWidth="1"/>
    <col min="11" max="14" width="9.109375" customWidth="1"/>
    <col min="15" max="15" width="6" customWidth="1"/>
    <col min="16" max="19" width="9.109375" customWidth="1"/>
  </cols>
  <sheetData>
    <row r="1" spans="1:7" ht="43.5" customHeight="1">
      <c r="A1" s="81"/>
      <c r="B1" s="81"/>
    </row>
    <row r="2" spans="1:7" ht="21" customHeight="1">
      <c r="A2" s="81"/>
      <c r="B2" s="81"/>
    </row>
    <row r="3" spans="1:7" ht="33" customHeight="1" thickBot="1">
      <c r="A3" s="82" t="s">
        <v>101</v>
      </c>
      <c r="B3" s="83" t="s">
        <v>102</v>
      </c>
      <c r="C3" s="83" t="s">
        <v>103</v>
      </c>
      <c r="D3" s="84" t="s">
        <v>104</v>
      </c>
    </row>
    <row r="4" spans="1:7" ht="21" customHeight="1" thickTop="1" thickBot="1">
      <c r="A4" s="97">
        <v>44191</v>
      </c>
      <c r="B4" s="85" t="s">
        <v>105</v>
      </c>
      <c r="C4" s="85">
        <v>0.3</v>
      </c>
      <c r="D4" s="85">
        <v>0</v>
      </c>
    </row>
    <row r="5" spans="1:7" ht="16.8" thickTop="1" thickBot="1">
      <c r="A5" s="97">
        <v>44192</v>
      </c>
      <c r="B5" s="86" t="s">
        <v>110</v>
      </c>
      <c r="C5" s="86">
        <v>0.4</v>
      </c>
      <c r="D5" s="86">
        <v>0</v>
      </c>
    </row>
    <row r="6" spans="1:7" ht="21" customHeight="1" thickTop="1" thickBot="1">
      <c r="A6" s="97">
        <v>44193</v>
      </c>
      <c r="B6" s="87" t="s">
        <v>115</v>
      </c>
      <c r="C6" s="87">
        <v>0.5</v>
      </c>
      <c r="D6" s="87">
        <v>0</v>
      </c>
    </row>
    <row r="7" spans="1:7" s="89" customFormat="1" ht="24" customHeight="1" thickTop="1" thickBot="1">
      <c r="A7" s="97">
        <v>44194</v>
      </c>
      <c r="B7" s="86" t="s">
        <v>112</v>
      </c>
      <c r="C7" s="86">
        <v>0.6</v>
      </c>
      <c r="D7" s="86">
        <v>0</v>
      </c>
      <c r="E7"/>
      <c r="F7" s="88"/>
      <c r="G7" s="88"/>
    </row>
    <row r="8" spans="1:7" s="91" customFormat="1" ht="24.75" customHeight="1" thickTop="1" thickBot="1">
      <c r="A8" s="97">
        <v>44201</v>
      </c>
      <c r="B8" s="87" t="s">
        <v>111</v>
      </c>
      <c r="C8" s="87">
        <v>0.7</v>
      </c>
      <c r="D8" s="87">
        <v>0</v>
      </c>
      <c r="E8"/>
      <c r="F8" s="90"/>
      <c r="G8" s="90"/>
    </row>
    <row r="9" spans="1:7" s="91" customFormat="1" ht="24.75" customHeight="1" thickTop="1" thickBot="1">
      <c r="A9" s="97">
        <v>44212</v>
      </c>
      <c r="B9" s="86" t="s">
        <v>113</v>
      </c>
      <c r="C9" s="86">
        <v>0.8</v>
      </c>
      <c r="D9" s="86">
        <v>0</v>
      </c>
      <c r="E9"/>
      <c r="F9" s="90"/>
      <c r="G9" s="90"/>
    </row>
    <row r="10" spans="1:7" s="91" customFormat="1" ht="24.75" customHeight="1" thickTop="1" thickBot="1">
      <c r="A10" s="97">
        <v>44219</v>
      </c>
      <c r="B10" s="87" t="s">
        <v>118</v>
      </c>
      <c r="C10" s="87">
        <v>0.35</v>
      </c>
      <c r="D10" s="87">
        <v>0</v>
      </c>
      <c r="E10"/>
      <c r="F10" s="90"/>
      <c r="G10" s="90"/>
    </row>
    <row r="11" spans="1:7" s="91" customFormat="1" ht="24.75" customHeight="1" thickTop="1" thickBot="1">
      <c r="A11" s="97">
        <v>44233</v>
      </c>
      <c r="B11" s="86" t="s">
        <v>119</v>
      </c>
      <c r="C11" s="86">
        <v>0.4</v>
      </c>
      <c r="D11" s="86">
        <v>0</v>
      </c>
      <c r="E11"/>
      <c r="F11" s="90"/>
      <c r="G11" s="90"/>
    </row>
    <row r="12" spans="1:7" s="91" customFormat="1" ht="24.75" customHeight="1" thickTop="1" thickBot="1">
      <c r="A12" s="97">
        <v>44261</v>
      </c>
      <c r="B12" s="87" t="s">
        <v>120</v>
      </c>
      <c r="C12" s="87">
        <v>0.4</v>
      </c>
      <c r="D12" s="87">
        <v>0</v>
      </c>
      <c r="E12"/>
      <c r="F12" s="90"/>
      <c r="G12" s="90"/>
    </row>
    <row r="13" spans="1:7" s="91" customFormat="1" ht="24.75" customHeight="1" thickTop="1" thickBot="1">
      <c r="A13" s="97">
        <v>44275</v>
      </c>
      <c r="B13" s="86" t="s">
        <v>121</v>
      </c>
      <c r="C13" s="86">
        <v>0.45</v>
      </c>
      <c r="D13" s="86">
        <v>0</v>
      </c>
      <c r="E13"/>
      <c r="F13" s="90"/>
      <c r="G13" s="90"/>
    </row>
    <row r="14" spans="1:7" s="91" customFormat="1" ht="24.75" customHeight="1" thickTop="1" thickBot="1">
      <c r="A14" s="97">
        <v>44278</v>
      </c>
      <c r="B14" s="87" t="s">
        <v>116</v>
      </c>
      <c r="C14" s="87">
        <v>0.5</v>
      </c>
      <c r="D14" s="87">
        <v>0</v>
      </c>
      <c r="E14"/>
      <c r="F14" s="90"/>
      <c r="G14" s="90"/>
    </row>
    <row r="15" spans="1:7" s="91" customFormat="1" ht="24.75" customHeight="1" thickTop="1" thickBot="1">
      <c r="A15" s="97">
        <v>44283</v>
      </c>
      <c r="B15" s="86" t="s">
        <v>117</v>
      </c>
      <c r="C15" s="86">
        <v>0.6</v>
      </c>
      <c r="D15" s="86">
        <v>0</v>
      </c>
      <c r="E15"/>
      <c r="F15" s="90"/>
      <c r="G15" s="90"/>
    </row>
    <row r="16" spans="1:7" s="91" customFormat="1" ht="24.75" customHeight="1" thickTop="1" thickBot="1">
      <c r="A16" s="97">
        <v>44290</v>
      </c>
      <c r="B16" s="87" t="s">
        <v>114</v>
      </c>
      <c r="C16" s="87">
        <v>0.8</v>
      </c>
      <c r="D16" s="87">
        <v>0</v>
      </c>
      <c r="E16"/>
      <c r="F16" s="90"/>
      <c r="G16" s="90"/>
    </row>
    <row r="17" spans="1:7" s="91" customFormat="1" ht="24.75" customHeight="1" thickTop="1">
      <c r="A17" s="97">
        <v>44311</v>
      </c>
      <c r="B17" s="86" t="s">
        <v>106</v>
      </c>
      <c r="C17" s="86">
        <v>0.5</v>
      </c>
      <c r="D17" s="86">
        <v>0</v>
      </c>
      <c r="E17"/>
      <c r="F17" s="90"/>
      <c r="G17" s="90"/>
    </row>
    <row r="18" spans="1:7" s="91" customFormat="1" ht="24.75" customHeight="1">
      <c r="A18" s="98"/>
      <c r="B18"/>
      <c r="C18"/>
      <c r="D18"/>
      <c r="E18"/>
      <c r="F18" s="90"/>
      <c r="G18" s="90"/>
    </row>
    <row r="19" spans="1:7" s="89" customFormat="1" ht="18">
      <c r="A19" s="98"/>
      <c r="B19"/>
      <c r="C19"/>
      <c r="D19"/>
      <c r="E19"/>
      <c r="F19" s="92"/>
    </row>
    <row r="20" spans="1:7">
      <c r="A20" s="98"/>
    </row>
    <row r="21" spans="1:7" s="89" customFormat="1" ht="18">
      <c r="A21" s="98"/>
      <c r="B21"/>
      <c r="C21"/>
      <c r="D21"/>
      <c r="E21" s="99"/>
      <c r="F21" s="92"/>
    </row>
    <row r="22" spans="1:7" s="89" customFormat="1" ht="18">
      <c r="A22" s="98"/>
      <c r="B22"/>
      <c r="C22"/>
      <c r="D22"/>
      <c r="E22" s="92"/>
      <c r="F22" s="92"/>
    </row>
    <row r="23" spans="1:7">
      <c r="A23" s="98"/>
    </row>
    <row r="24" spans="1:7" s="89" customFormat="1" ht="18">
      <c r="A24" s="98"/>
      <c r="B24"/>
      <c r="C24"/>
      <c r="D24"/>
      <c r="E24" s="92"/>
      <c r="F24" s="92"/>
    </row>
    <row r="25" spans="1:7" s="89" customFormat="1" ht="18">
      <c r="A25" s="98"/>
      <c r="B25"/>
      <c r="C25"/>
      <c r="D25"/>
      <c r="E25" s="92"/>
      <c r="F25" s="92"/>
    </row>
    <row r="26" spans="1:7" s="89" customFormat="1" ht="18">
      <c r="A26" s="98"/>
      <c r="B26"/>
      <c r="C26"/>
      <c r="D26"/>
      <c r="E26" s="92"/>
      <c r="F26" s="92"/>
    </row>
    <row r="27" spans="1:7" s="89" customFormat="1" ht="18">
      <c r="A27" s="98"/>
      <c r="B27"/>
      <c r="C27"/>
      <c r="D27"/>
      <c r="E27" s="92"/>
      <c r="F27" s="92"/>
    </row>
    <row r="28" spans="1:7" s="89" customFormat="1" ht="18">
      <c r="A28" s="98"/>
      <c r="B28"/>
      <c r="C28"/>
      <c r="D28"/>
      <c r="E28" s="92"/>
      <c r="F28" s="92"/>
    </row>
    <row r="29" spans="1:7" ht="18">
      <c r="A29" s="98"/>
      <c r="E29" s="93"/>
      <c r="F29" s="94"/>
      <c r="G29" s="89"/>
    </row>
    <row r="30" spans="1:7">
      <c r="A30" s="98"/>
      <c r="F30" s="95"/>
      <c r="G30" s="96"/>
    </row>
    <row r="31" spans="1:7">
      <c r="A31" s="98"/>
    </row>
  </sheetData>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0070C0"/>
  </sheetPr>
  <dimension ref="A1:B16"/>
  <sheetViews>
    <sheetView showGridLines="0" zoomScaleNormal="100" workbookViewId="0">
      <selection activeCell="D43" sqref="D43"/>
    </sheetView>
  </sheetViews>
  <sheetFormatPr defaultColWidth="9.109375" defaultRowHeight="13.8"/>
  <cols>
    <col min="1" max="1" width="87.109375" style="45" customWidth="1"/>
    <col min="2" max="16384" width="9.109375" style="2"/>
  </cols>
  <sheetData>
    <row r="1" spans="1:2" ht="46.5" customHeight="1"/>
    <row r="2" spans="1:2" s="47" customFormat="1" ht="15.6">
      <c r="A2" s="46" t="s">
        <v>2</v>
      </c>
      <c r="B2" s="46"/>
    </row>
    <row r="3" spans="1:2" s="51" customFormat="1" ht="27" customHeight="1">
      <c r="A3" s="52" t="s">
        <v>5</v>
      </c>
      <c r="B3" s="52"/>
    </row>
    <row r="4" spans="1:2" s="48" customFormat="1" ht="25.8">
      <c r="A4" s="49" t="s">
        <v>81</v>
      </c>
    </row>
    <row r="5" spans="1:2" ht="74.099999999999994" customHeight="1">
      <c r="A5" s="50" t="s">
        <v>82</v>
      </c>
    </row>
    <row r="6" spans="1:2" ht="26.25" customHeight="1">
      <c r="A6" s="49" t="s">
        <v>83</v>
      </c>
    </row>
    <row r="7" spans="1:2" s="45" customFormat="1" ht="204.9" customHeight="1">
      <c r="A7" s="54" t="s">
        <v>84</v>
      </c>
    </row>
    <row r="8" spans="1:2" s="48" customFormat="1" ht="25.8">
      <c r="A8" s="49" t="s">
        <v>85</v>
      </c>
    </row>
    <row r="9" spans="1:2" ht="57.6">
      <c r="A9" s="50" t="s">
        <v>86</v>
      </c>
    </row>
    <row r="10" spans="1:2" s="45" customFormat="1" ht="27.9" customHeight="1">
      <c r="A10" s="53" t="s">
        <v>87</v>
      </c>
    </row>
    <row r="11" spans="1:2" s="48" customFormat="1" ht="25.8">
      <c r="A11" s="49" t="s">
        <v>88</v>
      </c>
    </row>
    <row r="12" spans="1:2" ht="28.8">
      <c r="A12" s="50" t="s">
        <v>89</v>
      </c>
    </row>
    <row r="13" spans="1:2" s="45" customFormat="1" ht="27.9" customHeight="1">
      <c r="A13" s="53" t="s">
        <v>90</v>
      </c>
    </row>
    <row r="14" spans="1:2" s="48" customFormat="1" ht="25.8">
      <c r="A14" s="49" t="s">
        <v>91</v>
      </c>
    </row>
    <row r="15" spans="1:2" ht="75" customHeight="1">
      <c r="A15" s="50" t="s">
        <v>92</v>
      </c>
    </row>
    <row r="16" spans="1:2" ht="72">
      <c r="A16" s="50" t="s">
        <v>93</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9D930-417D-4BCC-A3BF-9CEC8B7F139C}">
  <sheetPr codeName="Sheet2"/>
  <dimension ref="A1:D11"/>
  <sheetViews>
    <sheetView topLeftCell="A7" zoomScaleNormal="100" workbookViewId="0">
      <selection activeCell="K35" sqref="K35"/>
    </sheetView>
  </sheetViews>
  <sheetFormatPr defaultColWidth="8.88671875" defaultRowHeight="14.4"/>
  <cols>
    <col min="1" max="1" width="36.88671875" bestFit="1" customWidth="1"/>
    <col min="2" max="2" width="48.44140625" style="75" customWidth="1"/>
    <col min="3" max="3" width="50.33203125" style="75" bestFit="1" customWidth="1"/>
  </cols>
  <sheetData>
    <row r="1" spans="1:4">
      <c r="A1" s="71" t="s">
        <v>62</v>
      </c>
      <c r="B1" s="72" t="s">
        <v>63</v>
      </c>
      <c r="C1" s="72" t="s">
        <v>64</v>
      </c>
      <c r="D1" s="71" t="s">
        <v>65</v>
      </c>
    </row>
    <row r="2" spans="1:4" ht="57.6">
      <c r="A2" t="s">
        <v>66</v>
      </c>
      <c r="B2" s="54" t="s">
        <v>67</v>
      </c>
      <c r="C2" s="54" t="s">
        <v>68</v>
      </c>
      <c r="D2" t="s">
        <v>72</v>
      </c>
    </row>
    <row r="3" spans="1:4" ht="72">
      <c r="A3" t="s">
        <v>26</v>
      </c>
      <c r="B3" s="73" t="s">
        <v>70</v>
      </c>
      <c r="C3" s="54" t="s">
        <v>71</v>
      </c>
      <c r="D3" t="s">
        <v>72</v>
      </c>
    </row>
    <row r="4" spans="1:4" ht="187.2">
      <c r="A4" t="s">
        <v>29</v>
      </c>
      <c r="B4" s="74" t="s">
        <v>73</v>
      </c>
      <c r="C4" s="54" t="s">
        <v>94</v>
      </c>
      <c r="D4" t="s">
        <v>72</v>
      </c>
    </row>
    <row r="5" spans="1:4" ht="100.8">
      <c r="A5" t="s">
        <v>31</v>
      </c>
      <c r="B5" s="54" t="s">
        <v>74</v>
      </c>
      <c r="C5" s="54" t="s">
        <v>95</v>
      </c>
      <c r="D5" t="s">
        <v>69</v>
      </c>
    </row>
    <row r="6" spans="1:4" ht="115.2">
      <c r="A6" t="s">
        <v>38</v>
      </c>
      <c r="B6" s="54" t="s">
        <v>75</v>
      </c>
      <c r="C6" s="54" t="s">
        <v>96</v>
      </c>
      <c r="D6" t="s">
        <v>69</v>
      </c>
    </row>
    <row r="7" spans="1:4" ht="72">
      <c r="A7" t="s">
        <v>45</v>
      </c>
      <c r="B7" s="54" t="s">
        <v>76</v>
      </c>
    </row>
    <row r="8" spans="1:4" ht="57.6">
      <c r="A8" t="s">
        <v>48</v>
      </c>
      <c r="B8" s="54" t="s">
        <v>77</v>
      </c>
    </row>
    <row r="9" spans="1:4" ht="28.8">
      <c r="A9" t="s">
        <v>50</v>
      </c>
      <c r="B9" s="54" t="s">
        <v>78</v>
      </c>
    </row>
    <row r="10" spans="1:4" ht="28.8">
      <c r="A10" t="s">
        <v>53</v>
      </c>
      <c r="B10" s="54" t="s">
        <v>79</v>
      </c>
    </row>
    <row r="11" spans="1:4" ht="100.8">
      <c r="A11" t="s">
        <v>56</v>
      </c>
      <c r="B11" s="54" t="s">
        <v>80</v>
      </c>
    </row>
  </sheetData>
  <conditionalFormatting sqref="D1:D1048576">
    <cfRule type="containsText" dxfId="1" priority="1" operator="containsText" text="done">
      <formula>NOT(ISERROR(SEARCH("done",D1)))</formula>
    </cfRule>
    <cfRule type="containsText" dxfId="0" priority="2" operator="containsText" text="open">
      <formula>NOT(ISERROR(SEARCH("open",D1)))</formula>
    </cfRule>
  </conditionalFormatting>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7EEA93DAC4C8043B56A70535ED6F2BF" ma:contentTypeVersion="2" ma:contentTypeDescription="Create a new document." ma:contentTypeScope="" ma:versionID="865985ebd205352637e9a75fcbdc70a2">
  <xsd:schema xmlns:xsd="http://www.w3.org/2001/XMLSchema" xmlns:xs="http://www.w3.org/2001/XMLSchema" xmlns:p="http://schemas.microsoft.com/office/2006/metadata/properties" xmlns:ns2="380e417b-f22d-473a-b12a-4a4a37b58417" targetNamespace="http://schemas.microsoft.com/office/2006/metadata/properties" ma:root="true" ma:fieldsID="77cd8dd609fc2048dbd384a1e556b061" ns2:_="">
    <xsd:import namespace="380e417b-f22d-473a-b12a-4a4a37b58417"/>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0e417b-f22d-473a-b12a-4a4a37b584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33C4164-AF3C-42B0-896B-80BAE80A8155}">
  <ds:schemaRefs>
    <ds:schemaRef ds:uri="http://schemas.microsoft.com/sharepoint/v3/contenttype/forms"/>
  </ds:schemaRefs>
</ds:datastoreItem>
</file>

<file path=customXml/itemProps2.xml><?xml version="1.0" encoding="utf-8"?>
<ds:datastoreItem xmlns:ds="http://schemas.openxmlformats.org/officeDocument/2006/customXml" ds:itemID="{AE431888-0452-4DA9-AA8D-A5C899071F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0e417b-f22d-473a-b12a-4a4a37b584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75FD6C-6BB7-4486-B1DF-CD5B367FB45E}">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380e417b-f22d-473a-b12a-4a4a37b58417"/>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Project Timeline</vt:lpstr>
      <vt:lpstr>Project Milestone</vt:lpstr>
      <vt:lpstr>About</vt:lpstr>
      <vt:lpstr>Action List</vt:lpstr>
      <vt:lpstr>Display_Week</vt:lpstr>
      <vt:lpstr>'Project Timeline'!Print_Titles</vt:lpstr>
      <vt:lpstr>Project_Start</vt:lpstr>
      <vt:lpstr>'Project Timeline'!task_end</vt:lpstr>
      <vt:lpstr>'Project Timeline'!task_progress</vt:lpstr>
      <vt:lpstr>'Project Timeline'!task_start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2019-03-19T17:17:03Z</dcterms:created>
  <dcterms:modified xsi:type="dcterms:W3CDTF">2021-05-02T09:04:58Z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0x01010017EEA93DAC4C8043B56A70535ED6F2BF</vt:lpwstr>
  </property>
</Properties>
</file>